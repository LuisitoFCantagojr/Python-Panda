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Python Project\"/>
    </mc:Choice>
  </mc:AlternateContent>
  <xr:revisionPtr revIDLastSave="0" documentId="13_ncr:1_{441C53BD-09A5-4679-AD5D-0DE5A8CF6EFC}" xr6:coauthVersionLast="47" xr6:coauthVersionMax="47" xr10:uidLastSave="{00000000-0000-0000-0000-000000000000}"/>
  <bookViews>
    <workbookView xWindow="-108" yWindow="-108" windowWidth="23256" windowHeight="12576" activeTab="1" xr2:uid="{8175ABC6-289C-4552-A85F-8CA1ABA72A12}"/>
  </bookViews>
  <sheets>
    <sheet name="Raw data" sheetId="2" r:id="rId1"/>
    <sheet name="Cleane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AI29" i="1"/>
  <c r="AH29" i="1"/>
  <c r="AG29" i="1"/>
  <c r="AF29" i="1"/>
  <c r="AE29" i="1"/>
  <c r="AD29" i="1"/>
  <c r="AC29" i="1"/>
  <c r="AI28" i="1"/>
  <c r="AH28" i="1"/>
  <c r="AG28" i="1"/>
  <c r="AF28" i="1"/>
  <c r="AE28" i="1"/>
  <c r="AD28" i="1"/>
  <c r="AC28" i="1"/>
  <c r="AI27" i="1"/>
  <c r="AH27" i="1"/>
  <c r="AG27" i="1"/>
  <c r="AF27" i="1"/>
  <c r="AE27" i="1"/>
  <c r="AD27" i="1"/>
  <c r="AC27" i="1"/>
  <c r="AI26" i="1"/>
  <c r="AH26" i="1"/>
  <c r="AG26" i="1"/>
  <c r="AF26" i="1"/>
  <c r="AE26" i="1"/>
  <c r="AD26" i="1"/>
  <c r="AC26" i="1"/>
  <c r="AI25" i="1"/>
  <c r="AH25" i="1"/>
  <c r="AG25" i="1"/>
  <c r="AF25" i="1"/>
  <c r="AE25" i="1"/>
  <c r="AD25" i="1"/>
  <c r="AC25" i="1"/>
  <c r="AI24" i="1"/>
  <c r="AH24" i="1"/>
  <c r="AG24" i="1"/>
  <c r="AF24" i="1"/>
  <c r="AE24" i="1"/>
  <c r="AD24" i="1"/>
  <c r="AC24" i="1"/>
  <c r="AI23" i="1"/>
  <c r="AH23" i="1"/>
  <c r="AG23" i="1"/>
  <c r="AF23" i="1"/>
  <c r="AE23" i="1"/>
  <c r="AD23" i="1"/>
  <c r="AC23" i="1"/>
  <c r="AI22" i="1"/>
  <c r="AH22" i="1"/>
  <c r="AG22" i="1"/>
  <c r="AF22" i="1"/>
  <c r="AE22" i="1"/>
  <c r="AD22" i="1"/>
  <c r="AC22" i="1"/>
  <c r="AI21" i="1"/>
  <c r="AH21" i="1"/>
  <c r="AG21" i="1"/>
  <c r="AF21" i="1"/>
  <c r="AE21" i="1"/>
  <c r="AD21" i="1"/>
  <c r="AC21" i="1"/>
  <c r="AI20" i="1"/>
  <c r="AH20" i="1"/>
  <c r="AG20" i="1"/>
  <c r="AF20" i="1"/>
  <c r="AE20" i="1"/>
  <c r="AD20" i="1"/>
  <c r="AC20" i="1"/>
  <c r="AI19" i="1"/>
  <c r="AH19" i="1"/>
  <c r="AG19" i="1"/>
  <c r="AF19" i="1"/>
  <c r="AE19" i="1"/>
  <c r="AD19" i="1"/>
  <c r="AC19" i="1"/>
  <c r="AI18" i="1"/>
  <c r="AH18" i="1"/>
  <c r="AG18" i="1"/>
  <c r="AF18" i="1"/>
  <c r="AE18" i="1"/>
  <c r="AD18" i="1"/>
  <c r="AC18" i="1"/>
  <c r="AI17" i="1"/>
  <c r="AH17" i="1"/>
  <c r="AG17" i="1"/>
  <c r="AF17" i="1"/>
  <c r="AE17" i="1"/>
  <c r="AD17" i="1"/>
  <c r="AC17" i="1"/>
  <c r="AI16" i="1"/>
  <c r="AH16" i="1"/>
  <c r="AG16" i="1"/>
  <c r="AF16" i="1"/>
  <c r="AE16" i="1"/>
  <c r="AD16" i="1"/>
  <c r="AC16" i="1"/>
  <c r="AI15" i="1"/>
  <c r="AH15" i="1"/>
  <c r="AG15" i="1"/>
  <c r="AF15" i="1"/>
  <c r="AE15" i="1"/>
  <c r="AD15" i="1"/>
  <c r="AC15" i="1"/>
  <c r="AI14" i="1"/>
  <c r="AH14" i="1"/>
  <c r="AG14" i="1"/>
  <c r="AF14" i="1"/>
  <c r="AE14" i="1"/>
  <c r="AD14" i="1"/>
  <c r="AC14" i="1"/>
  <c r="AI13" i="1"/>
  <c r="AH13" i="1"/>
  <c r="AG13" i="1"/>
  <c r="AF13" i="1"/>
  <c r="AE13" i="1"/>
  <c r="AD13" i="1"/>
  <c r="AC13" i="1"/>
  <c r="AI12" i="1"/>
  <c r="AH12" i="1"/>
  <c r="AG12" i="1"/>
  <c r="AF12" i="1"/>
  <c r="AE12" i="1"/>
  <c r="AD12" i="1"/>
  <c r="AC12" i="1"/>
  <c r="AI11" i="1"/>
  <c r="AH11" i="1"/>
  <c r="AG11" i="1"/>
  <c r="AF11" i="1"/>
  <c r="AE11" i="1"/>
  <c r="AD11" i="1"/>
  <c r="AC11" i="1"/>
  <c r="AI10" i="1"/>
  <c r="AH10" i="1"/>
  <c r="AG10" i="1"/>
  <c r="AF10" i="1"/>
  <c r="AE10" i="1"/>
  <c r="AD10" i="1"/>
  <c r="AC10" i="1"/>
  <c r="AI9" i="1"/>
  <c r="AH9" i="1"/>
  <c r="AG9" i="1"/>
  <c r="AF9" i="1"/>
  <c r="AE9" i="1"/>
  <c r="AD9" i="1"/>
  <c r="AC9" i="1"/>
  <c r="AI8" i="1"/>
  <c r="AH8" i="1"/>
  <c r="AG8" i="1"/>
  <c r="AF8" i="1"/>
  <c r="AE8" i="1"/>
  <c r="AD8" i="1"/>
  <c r="AC8" i="1"/>
  <c r="AI7" i="1"/>
  <c r="AH7" i="1"/>
  <c r="AG7" i="1"/>
  <c r="AF7" i="1"/>
  <c r="AE7" i="1"/>
  <c r="AD7" i="1"/>
  <c r="AC7" i="1"/>
  <c r="AI6" i="1"/>
  <c r="AH6" i="1"/>
  <c r="AG6" i="1"/>
  <c r="AF6" i="1"/>
  <c r="AE6" i="1"/>
  <c r="AD6" i="1"/>
  <c r="AC6" i="1"/>
  <c r="AI5" i="1"/>
  <c r="AH5" i="1"/>
  <c r="AG5" i="1"/>
  <c r="AF5" i="1"/>
  <c r="AE5" i="1"/>
  <c r="AD5" i="1"/>
  <c r="AC5" i="1"/>
  <c r="AI4" i="1"/>
  <c r="AH4" i="1"/>
  <c r="AG4" i="1"/>
  <c r="AF4" i="1"/>
  <c r="AE4" i="1"/>
  <c r="AD4" i="1"/>
  <c r="AC4" i="1"/>
  <c r="AI3" i="1"/>
  <c r="AH3" i="1"/>
  <c r="AG3" i="1"/>
  <c r="AF3" i="1"/>
  <c r="AE3" i="1"/>
  <c r="AD3" i="1"/>
  <c r="AC3" i="1"/>
  <c r="AA3" i="1"/>
  <c r="AA4" i="1" s="1"/>
  <c r="AA5" i="1" s="1"/>
  <c r="AI2" i="1"/>
  <c r="AH2" i="1"/>
  <c r="AG2" i="1"/>
  <c r="AF2" i="1"/>
  <c r="AE2" i="1"/>
  <c r="AD2" i="1"/>
  <c r="AC2" i="1"/>
  <c r="Z2" i="1"/>
  <c r="A2" i="1"/>
  <c r="A3" i="1"/>
  <c r="Z3" i="1" l="1"/>
  <c r="B31" i="1"/>
  <c r="A30" i="1"/>
  <c r="AA6" i="1"/>
  <c r="Z5" i="1"/>
  <c r="Z4" i="1"/>
  <c r="A4" i="1"/>
  <c r="A31" i="1" l="1"/>
  <c r="AA7" i="1"/>
  <c r="Z6" i="1"/>
  <c r="A5" i="1"/>
  <c r="Z7" i="1" l="1"/>
  <c r="AA8" i="1"/>
  <c r="A6" i="1"/>
  <c r="Z8" i="1" l="1"/>
  <c r="AA9" i="1"/>
  <c r="A7" i="1"/>
  <c r="AA10" i="1" l="1"/>
  <c r="Z9" i="1"/>
  <c r="A8" i="1"/>
  <c r="AA11" i="1" l="1"/>
  <c r="Z10" i="1"/>
  <c r="A9" i="1"/>
  <c r="AA12" i="1" l="1"/>
  <c r="Z11" i="1"/>
  <c r="A10" i="1"/>
  <c r="AA13" i="1" l="1"/>
  <c r="Z12" i="1"/>
  <c r="A11" i="1"/>
  <c r="AA14" i="1" l="1"/>
  <c r="Z13" i="1"/>
  <c r="A12" i="1"/>
  <c r="AA15" i="1" l="1"/>
  <c r="Z14" i="1"/>
  <c r="A13" i="1"/>
  <c r="Z15" i="1" l="1"/>
  <c r="AA16" i="1"/>
  <c r="A14" i="1"/>
  <c r="Z16" i="1" l="1"/>
  <c r="AA17" i="1"/>
  <c r="A15" i="1"/>
  <c r="AA18" i="1" l="1"/>
  <c r="Z17" i="1"/>
  <c r="A16" i="1"/>
  <c r="AA19" i="1" l="1"/>
  <c r="Z18" i="1"/>
  <c r="A17" i="1"/>
  <c r="AA20" i="1" l="1"/>
  <c r="Z19" i="1"/>
  <c r="A18" i="1"/>
  <c r="Z20" i="1" l="1"/>
  <c r="AA21" i="1"/>
  <c r="A19" i="1"/>
  <c r="Z21" i="1" l="1"/>
  <c r="AA22" i="1"/>
  <c r="A20" i="1"/>
  <c r="AA23" i="1" l="1"/>
  <c r="Z22" i="1"/>
  <c r="A21" i="1"/>
  <c r="AA24" i="1" l="1"/>
  <c r="Z23" i="1"/>
  <c r="A22" i="1"/>
  <c r="Z24" i="1" l="1"/>
  <c r="AA25" i="1"/>
  <c r="A23" i="1"/>
  <c r="AA26" i="1" l="1"/>
  <c r="Z25" i="1"/>
  <c r="A24" i="1"/>
  <c r="AA27" i="1" l="1"/>
  <c r="Z26" i="1"/>
  <c r="A25" i="1"/>
  <c r="Z27" i="1" l="1"/>
  <c r="AA28" i="1"/>
  <c r="A26" i="1"/>
  <c r="AA29" i="1" l="1"/>
  <c r="Z28" i="1"/>
  <c r="A27" i="1"/>
  <c r="Z29" i="1" l="1"/>
  <c r="A28" i="1"/>
  <c r="A29" i="1" l="1"/>
</calcChain>
</file>

<file path=xl/sharedStrings.xml><?xml version="1.0" encoding="utf-8"?>
<sst xmlns="http://schemas.openxmlformats.org/spreadsheetml/2006/main" count="744" uniqueCount="51">
  <si>
    <t>Name</t>
  </si>
  <si>
    <t>Date</t>
  </si>
  <si>
    <t>OHR</t>
  </si>
  <si>
    <t>Trend</t>
  </si>
  <si>
    <t>Availability</t>
  </si>
  <si>
    <t>Productivity</t>
  </si>
  <si>
    <t>Actual RABS</t>
  </si>
  <si>
    <t>740018760</t>
  </si>
  <si>
    <t>George Mason</t>
  </si>
  <si>
    <t>94%</t>
  </si>
  <si>
    <t>88%</t>
  </si>
  <si>
    <t>$ 28,184.87</t>
  </si>
  <si>
    <t>Ann Taylor</t>
  </si>
  <si>
    <t>78%</t>
  </si>
  <si>
    <t>$ 41,685.43</t>
  </si>
  <si>
    <t>Sam Quinn</t>
  </si>
  <si>
    <t>97%</t>
  </si>
  <si>
    <t>80%</t>
  </si>
  <si>
    <t>$ 45,142.41</t>
  </si>
  <si>
    <t>Jennifer Lawrence</t>
  </si>
  <si>
    <t>$ 31,685.43</t>
  </si>
  <si>
    <t>$ 46,115.12</t>
  </si>
  <si>
    <t>Matt Acer</t>
  </si>
  <si>
    <t>Unit Manager</t>
  </si>
  <si>
    <t>Operation Manager</t>
  </si>
  <si>
    <t>Portfolio</t>
  </si>
  <si>
    <t>Margaret Cayabyab</t>
  </si>
  <si>
    <t>Kamisato Ryou</t>
  </si>
  <si>
    <t>Sears</t>
  </si>
  <si>
    <t>Mathew Salazar</t>
  </si>
  <si>
    <t>Marshal Fschl</t>
  </si>
  <si>
    <t>Sears Connect</t>
  </si>
  <si>
    <t>Best Buy</t>
  </si>
  <si>
    <t>Emily Carson</t>
  </si>
  <si>
    <t>Harold Hugh</t>
  </si>
  <si>
    <t>Bankcards</t>
  </si>
  <si>
    <t>Joy Giron</t>
  </si>
  <si>
    <t>Ismael Khaleed</t>
  </si>
  <si>
    <t>UNV Brands</t>
  </si>
  <si>
    <t>Jesslyn Mendez</t>
  </si>
  <si>
    <t>Marvin Wagner</t>
  </si>
  <si>
    <t>"740018760</t>
  </si>
  <si>
    <t>M1_RESULT</t>
  </si>
  <si>
    <t>Result_Query</t>
  </si>
  <si>
    <t>FE</t>
  </si>
  <si>
    <t>AD</t>
  </si>
  <si>
    <t>SW</t>
  </si>
  <si>
    <t>BG</t>
  </si>
  <si>
    <t>VD</t>
  </si>
  <si>
    <t>CD</t>
  </si>
  <si>
    <t>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</si>
</sst>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"/>
    <numFmt numFmtId="165" formatCode="[$$-409]#,##0.00"/>
    <numFmt numFmtId="166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487680</xdr:colOff>
      <xdr:row>2</xdr:row>
      <xdr:rowOff>175260</xdr:rowOff>
    </xdr:from>
    <xdr:to>
      <xdr:col>15</xdr:col>
      <xdr:colOff>327660</xdr:colOff>
      <xdr:row>7</xdr:row>
      <xdr:rowOff>45720</xdr:rowOff>
    </xdr:to>
    <xdr:sp macro="[0]!clean1" textlink="">
      <xdr:nvSpPr>
        <xdr:cNvPr id="2" name="Rectangle 1">
          <a:extLst>
            <a:ext uri="{FF2B5EF4-FFF2-40B4-BE49-F238E27FC236}">
              <a16:creationId xmlns:a16="http://schemas.microsoft.com/office/drawing/2014/main" id="{7A05B7BE-BFF8-4331-A366-B4F0CCE22ED5}"/>
            </a:ext>
          </a:extLst>
        </xdr:cNvPr>
        <xdr:cNvSpPr/>
      </xdr:nvSpPr>
      <xdr:spPr>
        <a:xfrm>
          <a:off x="11094720" y="541020"/>
          <a:ext cx="2278380" cy="78486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>
              <a:latin typeface="Amasis MT Pro Black" panose="020B0604020202020204" pitchFamily="18" charset="0"/>
            </a:rPr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03FE1-5D07-489F-9CBB-462041C3F107}">
  <sheetPr codeName="Sheet1"/>
  <dimension ref="A1:AE33"/>
  <sheetViews>
    <sheetView workbookViewId="0">
      <selection activeCell="B3" sqref="B3"/>
    </sheetView>
  </sheetViews>
  <sheetFormatPr defaultRowHeight="14.4" x14ac:dyDescent="0.3"/>
  <cols>
    <col min="1" max="1" width="24.77734375" style="1" bestFit="1" customWidth="1"/>
    <col min="2" max="2" width="10.77734375" style="10" bestFit="1" customWidth="1"/>
    <col min="3" max="3" width="12.21875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1.109375" style="1" bestFit="1" customWidth="1"/>
    <col min="8" max="8" width="12.5546875" style="1" customWidth="1"/>
    <col min="9" max="9" width="10.21875" bestFit="1" customWidth="1"/>
    <col min="10" max="10" width="11.21875" style="3" bestFit="1" customWidth="1"/>
    <col min="11" max="11" width="11.21875" bestFit="1" customWidth="1"/>
    <col min="21" max="21" width="24.77734375" style="1" bestFit="1" customWidth="1"/>
    <col min="22" max="22" width="10.77734375" style="10" bestFit="1" customWidth="1"/>
    <col min="23" max="23" width="12.21875" style="1" bestFit="1" customWidth="1"/>
    <col min="24" max="24" width="15.88671875" style="1" bestFit="1" customWidth="1"/>
    <col min="25" max="25" width="17" style="1" bestFit="1" customWidth="1"/>
    <col min="26" max="26" width="17.6640625" style="1" bestFit="1" customWidth="1"/>
    <col min="27" max="27" width="11.109375" style="1" bestFit="1" customWidth="1"/>
    <col min="28" max="28" width="12.5546875" style="1" customWidth="1"/>
    <col min="29" max="29" width="10.21875" bestFit="1" customWidth="1"/>
    <col min="30" max="30" width="11.21875" style="3" bestFit="1" customWidth="1"/>
    <col min="31" max="31" width="11.21875" bestFit="1" customWidth="1"/>
  </cols>
  <sheetData>
    <row r="1" spans="1:31" s="16" customFormat="1" x14ac:dyDescent="0.3">
      <c r="A1" s="19" t="s">
        <v>1</v>
      </c>
      <c r="B1" s="18" t="s">
        <v>2</v>
      </c>
      <c r="C1" s="18" t="s">
        <v>43</v>
      </c>
      <c r="D1" s="18" t="s">
        <v>0</v>
      </c>
      <c r="E1" s="18" t="s">
        <v>23</v>
      </c>
      <c r="F1" s="18" t="s">
        <v>24</v>
      </c>
      <c r="G1" s="18" t="s">
        <v>42</v>
      </c>
      <c r="H1" s="18" t="s">
        <v>25</v>
      </c>
      <c r="I1" s="18" t="s">
        <v>4</v>
      </c>
      <c r="J1" s="18" t="s">
        <v>5</v>
      </c>
      <c r="K1" s="20" t="s">
        <v>6</v>
      </c>
      <c r="U1" s="19" t="s">
        <v>1</v>
      </c>
      <c r="V1" s="18" t="s">
        <v>2</v>
      </c>
      <c r="W1" s="18" t="s">
        <v>43</v>
      </c>
      <c r="X1" s="18" t="s">
        <v>0</v>
      </c>
      <c r="Y1" s="18" t="s">
        <v>23</v>
      </c>
      <c r="Z1" s="18" t="s">
        <v>24</v>
      </c>
      <c r="AA1" s="18" t="s">
        <v>42</v>
      </c>
      <c r="AB1" s="18" t="s">
        <v>25</v>
      </c>
      <c r="AC1" s="18" t="s">
        <v>4</v>
      </c>
      <c r="AD1" s="18" t="s">
        <v>5</v>
      </c>
      <c r="AE1" s="20" t="s">
        <v>6</v>
      </c>
    </row>
    <row r="2" spans="1:31" x14ac:dyDescent="0.3">
      <c r="A2" s="9">
        <v>44197</v>
      </c>
      <c r="B2" s="8" t="s">
        <v>41</v>
      </c>
      <c r="C2" s="8"/>
      <c r="D2" s="6" t="s">
        <v>8</v>
      </c>
      <c r="E2" s="6" t="s">
        <v>26</v>
      </c>
      <c r="F2" s="6" t="s">
        <v>27</v>
      </c>
      <c r="G2" s="6">
        <v>1</v>
      </c>
      <c r="H2" s="6" t="s">
        <v>28</v>
      </c>
      <c r="I2" s="6" t="s">
        <v>9</v>
      </c>
      <c r="J2" s="6" t="s">
        <v>9</v>
      </c>
      <c r="K2" s="7" t="s">
        <v>11</v>
      </c>
      <c r="U2" s="9">
        <v>44197</v>
      </c>
      <c r="V2" s="8" t="s">
        <v>41</v>
      </c>
      <c r="W2" s="8"/>
      <c r="X2" s="6" t="s">
        <v>8</v>
      </c>
      <c r="Y2" s="6" t="s">
        <v>26</v>
      </c>
      <c r="Z2" s="6" t="s">
        <v>27</v>
      </c>
      <c r="AA2" s="6">
        <v>1</v>
      </c>
      <c r="AB2" s="6" t="s">
        <v>28</v>
      </c>
      <c r="AC2" s="6" t="s">
        <v>9</v>
      </c>
      <c r="AD2" s="6" t="s">
        <v>9</v>
      </c>
      <c r="AE2" s="7" t="s">
        <v>11</v>
      </c>
    </row>
    <row r="3" spans="1:31" x14ac:dyDescent="0.3">
      <c r="A3" s="9">
        <v>44198</v>
      </c>
      <c r="B3" s="8" t="s">
        <v>41</v>
      </c>
      <c r="C3" s="8"/>
      <c r="D3" s="6" t="s">
        <v>15</v>
      </c>
      <c r="E3" s="6" t="s">
        <v>29</v>
      </c>
      <c r="F3" s="6" t="s">
        <v>30</v>
      </c>
      <c r="G3" s="6">
        <v>0</v>
      </c>
      <c r="H3" s="6" t="s">
        <v>31</v>
      </c>
      <c r="I3" s="6" t="s">
        <v>16</v>
      </c>
      <c r="J3" s="6" t="s">
        <v>10</v>
      </c>
      <c r="K3" s="7" t="s">
        <v>18</v>
      </c>
      <c r="U3" s="9">
        <v>44198</v>
      </c>
      <c r="V3" s="8" t="s">
        <v>41</v>
      </c>
      <c r="W3" s="8"/>
      <c r="X3" s="6" t="s">
        <v>15</v>
      </c>
      <c r="Y3" s="6" t="s">
        <v>29</v>
      </c>
      <c r="Z3" s="6" t="s">
        <v>30</v>
      </c>
      <c r="AA3" s="6">
        <v>0</v>
      </c>
      <c r="AB3" s="6" t="s">
        <v>31</v>
      </c>
      <c r="AC3" s="6" t="s">
        <v>16</v>
      </c>
      <c r="AD3" s="6" t="s">
        <v>10</v>
      </c>
      <c r="AE3" s="7" t="s">
        <v>18</v>
      </c>
    </row>
    <row r="4" spans="1:31" x14ac:dyDescent="0.3">
      <c r="A4" s="9">
        <v>44199</v>
      </c>
      <c r="B4" s="8" t="s">
        <v>41</v>
      </c>
      <c r="C4" s="8"/>
      <c r="D4" s="6" t="s">
        <v>19</v>
      </c>
      <c r="E4" s="6" t="s">
        <v>26</v>
      </c>
      <c r="F4" s="6" t="s">
        <v>27</v>
      </c>
      <c r="G4" s="6">
        <v>1</v>
      </c>
      <c r="H4" s="6" t="s">
        <v>32</v>
      </c>
      <c r="I4" s="6" t="s">
        <v>17</v>
      </c>
      <c r="J4" s="6" t="s">
        <v>13</v>
      </c>
      <c r="K4" s="7" t="s">
        <v>20</v>
      </c>
      <c r="U4" s="9">
        <v>44199</v>
      </c>
      <c r="V4" s="8" t="s">
        <v>41</v>
      </c>
      <c r="W4" s="8"/>
      <c r="X4" s="6" t="s">
        <v>19</v>
      </c>
      <c r="Y4" s="6" t="s">
        <v>26</v>
      </c>
      <c r="Z4" s="6" t="s">
        <v>27</v>
      </c>
      <c r="AA4" s="6">
        <v>1</v>
      </c>
      <c r="AB4" s="6" t="s">
        <v>32</v>
      </c>
      <c r="AC4" s="6" t="s">
        <v>17</v>
      </c>
      <c r="AD4" s="6" t="s">
        <v>13</v>
      </c>
      <c r="AE4" s="7" t="s">
        <v>20</v>
      </c>
    </row>
    <row r="5" spans="1:31" x14ac:dyDescent="0.3">
      <c r="A5" s="9">
        <v>44203</v>
      </c>
      <c r="B5" s="8" t="s">
        <v>41</v>
      </c>
      <c r="C5" s="8" t="s">
        <v>46</v>
      </c>
      <c r="D5" s="6" t="s">
        <v>8</v>
      </c>
      <c r="E5" s="6" t="s">
        <v>33</v>
      </c>
      <c r="F5" s="6" t="s">
        <v>34</v>
      </c>
      <c r="G5" s="6">
        <v>0</v>
      </c>
      <c r="H5" s="6" t="s">
        <v>35</v>
      </c>
      <c r="I5" s="6" t="s">
        <v>13</v>
      </c>
      <c r="J5" s="6" t="s">
        <v>16</v>
      </c>
      <c r="K5" s="7" t="s">
        <v>21</v>
      </c>
      <c r="U5" s="9">
        <v>44203</v>
      </c>
      <c r="V5" s="8" t="s">
        <v>41</v>
      </c>
      <c r="W5" s="8" t="s">
        <v>46</v>
      </c>
      <c r="X5" s="6" t="s">
        <v>8</v>
      </c>
      <c r="Y5" s="6" t="s">
        <v>33</v>
      </c>
      <c r="Z5" s="6" t="s">
        <v>34</v>
      </c>
      <c r="AA5" s="6">
        <v>0</v>
      </c>
      <c r="AB5" s="6" t="s">
        <v>35</v>
      </c>
      <c r="AC5" s="6" t="s">
        <v>13</v>
      </c>
      <c r="AD5" s="6" t="s">
        <v>16</v>
      </c>
      <c r="AE5" s="7" t="s">
        <v>21</v>
      </c>
    </row>
    <row r="6" spans="1:31" x14ac:dyDescent="0.3">
      <c r="A6" s="9">
        <v>44201</v>
      </c>
      <c r="B6" s="8" t="s">
        <v>41</v>
      </c>
      <c r="C6" s="8"/>
      <c r="D6" s="6" t="s">
        <v>19</v>
      </c>
      <c r="E6" s="6" t="s">
        <v>29</v>
      </c>
      <c r="F6" s="6" t="s">
        <v>30</v>
      </c>
      <c r="G6" s="6">
        <v>0</v>
      </c>
      <c r="H6" s="6" t="s">
        <v>32</v>
      </c>
      <c r="I6" s="6" t="s">
        <v>9</v>
      </c>
      <c r="J6" s="6" t="s">
        <v>10</v>
      </c>
      <c r="K6" s="7" t="s">
        <v>20</v>
      </c>
      <c r="U6" s="9">
        <v>44201</v>
      </c>
      <c r="V6" s="8" t="s">
        <v>41</v>
      </c>
      <c r="W6" s="8"/>
      <c r="X6" s="6" t="s">
        <v>19</v>
      </c>
      <c r="Y6" s="6" t="s">
        <v>29</v>
      </c>
      <c r="Z6" s="6" t="s">
        <v>30</v>
      </c>
      <c r="AA6" s="6">
        <v>0</v>
      </c>
      <c r="AB6" s="6" t="s">
        <v>32</v>
      </c>
      <c r="AC6" s="6" t="s">
        <v>9</v>
      </c>
      <c r="AD6" s="6" t="s">
        <v>10</v>
      </c>
      <c r="AE6" s="7" t="s">
        <v>20</v>
      </c>
    </row>
    <row r="7" spans="1:31" x14ac:dyDescent="0.3">
      <c r="A7" s="9">
        <v>44202</v>
      </c>
      <c r="B7" s="8" t="s">
        <v>41</v>
      </c>
      <c r="C7" s="8"/>
      <c r="D7" s="6" t="s">
        <v>15</v>
      </c>
      <c r="E7" s="6" t="s">
        <v>33</v>
      </c>
      <c r="F7" s="6" t="s">
        <v>30</v>
      </c>
      <c r="G7" s="6">
        <v>0</v>
      </c>
      <c r="H7" s="6" t="s">
        <v>31</v>
      </c>
      <c r="I7" s="6" t="s">
        <v>16</v>
      </c>
      <c r="J7" s="6" t="s">
        <v>16</v>
      </c>
      <c r="K7" s="7" t="s">
        <v>14</v>
      </c>
      <c r="U7" s="9">
        <v>44202</v>
      </c>
      <c r="V7" s="8" t="s">
        <v>41</v>
      </c>
      <c r="W7" s="8"/>
      <c r="X7" s="6" t="s">
        <v>15</v>
      </c>
      <c r="Y7" s="6" t="s">
        <v>33</v>
      </c>
      <c r="Z7" s="6" t="s">
        <v>30</v>
      </c>
      <c r="AA7" s="6">
        <v>0</v>
      </c>
      <c r="AB7" s="6" t="s">
        <v>31</v>
      </c>
      <c r="AC7" s="6" t="s">
        <v>16</v>
      </c>
      <c r="AD7" s="6" t="s">
        <v>16</v>
      </c>
      <c r="AE7" s="7" t="s">
        <v>14</v>
      </c>
    </row>
    <row r="8" spans="1:31" x14ac:dyDescent="0.3">
      <c r="A8" s="9">
        <v>44200</v>
      </c>
      <c r="B8" s="8" t="s">
        <v>41</v>
      </c>
      <c r="C8" s="8" t="s">
        <v>50</v>
      </c>
      <c r="D8" s="6" t="s">
        <v>22</v>
      </c>
      <c r="E8" s="6" t="s">
        <v>36</v>
      </c>
      <c r="F8" s="6" t="s">
        <v>37</v>
      </c>
      <c r="G8" s="6">
        <v>1</v>
      </c>
      <c r="H8" s="6" t="s">
        <v>38</v>
      </c>
      <c r="I8" s="6" t="s">
        <v>10</v>
      </c>
      <c r="J8" s="6" t="s">
        <v>10</v>
      </c>
      <c r="K8" s="7" t="s">
        <v>18</v>
      </c>
      <c r="U8" s="9">
        <v>44200</v>
      </c>
      <c r="V8" s="8" t="s">
        <v>41</v>
      </c>
      <c r="W8" s="8" t="s">
        <v>50</v>
      </c>
      <c r="X8" s="6" t="s">
        <v>22</v>
      </c>
      <c r="Y8" s="6" t="s">
        <v>36</v>
      </c>
      <c r="Z8" s="6" t="s">
        <v>37</v>
      </c>
      <c r="AA8" s="6">
        <v>1</v>
      </c>
      <c r="AB8" s="6" t="s">
        <v>38</v>
      </c>
      <c r="AC8" s="6" t="s">
        <v>10</v>
      </c>
      <c r="AD8" s="6" t="s">
        <v>10</v>
      </c>
      <c r="AE8" s="7" t="s">
        <v>18</v>
      </c>
    </row>
    <row r="9" spans="1:31" x14ac:dyDescent="0.3">
      <c r="A9" s="9">
        <v>44204</v>
      </c>
      <c r="B9" s="8" t="s">
        <v>41</v>
      </c>
      <c r="C9" s="8"/>
      <c r="D9" s="6" t="s">
        <v>8</v>
      </c>
      <c r="E9" s="6" t="s">
        <v>26</v>
      </c>
      <c r="F9" s="6" t="s">
        <v>34</v>
      </c>
      <c r="G9" s="6">
        <v>1</v>
      </c>
      <c r="H9" s="6" t="s">
        <v>38</v>
      </c>
      <c r="I9" s="6" t="s">
        <v>13</v>
      </c>
      <c r="J9" s="6" t="s">
        <v>13</v>
      </c>
      <c r="K9" s="7" t="s">
        <v>18</v>
      </c>
      <c r="U9" s="9">
        <v>44204</v>
      </c>
      <c r="V9" s="8" t="s">
        <v>41</v>
      </c>
      <c r="W9" s="8"/>
      <c r="X9" s="6" t="s">
        <v>8</v>
      </c>
      <c r="Y9" s="6" t="s">
        <v>26</v>
      </c>
      <c r="Z9" s="6" t="s">
        <v>34</v>
      </c>
      <c r="AA9" s="6">
        <v>1</v>
      </c>
      <c r="AB9" s="6" t="s">
        <v>38</v>
      </c>
      <c r="AC9" s="6" t="s">
        <v>13</v>
      </c>
      <c r="AD9" s="6" t="s">
        <v>13</v>
      </c>
      <c r="AE9" s="7" t="s">
        <v>18</v>
      </c>
    </row>
    <row r="10" spans="1:31" x14ac:dyDescent="0.3">
      <c r="A10" s="9">
        <v>44205</v>
      </c>
      <c r="B10" s="8" t="s">
        <v>41</v>
      </c>
      <c r="C10" s="8"/>
      <c r="D10" s="6" t="s">
        <v>15</v>
      </c>
      <c r="E10" s="6" t="s">
        <v>26</v>
      </c>
      <c r="F10" s="6" t="s">
        <v>30</v>
      </c>
      <c r="G10" s="6">
        <v>1</v>
      </c>
      <c r="H10" s="6" t="s">
        <v>31</v>
      </c>
      <c r="I10" s="6" t="s">
        <v>17</v>
      </c>
      <c r="J10" s="6" t="s">
        <v>9</v>
      </c>
      <c r="K10" s="7" t="s">
        <v>11</v>
      </c>
      <c r="U10" s="9">
        <v>44205</v>
      </c>
      <c r="V10" s="8" t="s">
        <v>41</v>
      </c>
      <c r="W10" s="8"/>
      <c r="X10" s="6" t="s">
        <v>15</v>
      </c>
      <c r="Y10" s="6" t="s">
        <v>26</v>
      </c>
      <c r="Z10" s="6" t="s">
        <v>30</v>
      </c>
      <c r="AA10" s="6">
        <v>1</v>
      </c>
      <c r="AB10" s="6" t="s">
        <v>31</v>
      </c>
      <c r="AC10" s="6" t="s">
        <v>17</v>
      </c>
      <c r="AD10" s="6" t="s">
        <v>9</v>
      </c>
      <c r="AE10" s="7" t="s">
        <v>11</v>
      </c>
    </row>
    <row r="11" spans="1:31" x14ac:dyDescent="0.3">
      <c r="A11" s="9">
        <v>44206</v>
      </c>
      <c r="B11" s="8" t="s">
        <v>41</v>
      </c>
      <c r="C11" s="8"/>
      <c r="D11" s="6" t="s">
        <v>15</v>
      </c>
      <c r="E11" s="6" t="s">
        <v>39</v>
      </c>
      <c r="F11" s="6" t="s">
        <v>40</v>
      </c>
      <c r="G11" s="6">
        <v>1</v>
      </c>
      <c r="H11" s="6" t="s">
        <v>38</v>
      </c>
      <c r="I11" s="6" t="s">
        <v>13</v>
      </c>
      <c r="J11" s="6" t="s">
        <v>17</v>
      </c>
      <c r="K11" s="7" t="s">
        <v>18</v>
      </c>
      <c r="U11" s="9">
        <v>44206</v>
      </c>
      <c r="V11" s="8" t="s">
        <v>41</v>
      </c>
      <c r="W11" s="8"/>
      <c r="X11" s="6" t="s">
        <v>15</v>
      </c>
      <c r="Y11" s="6" t="s">
        <v>39</v>
      </c>
      <c r="Z11" s="6" t="s">
        <v>40</v>
      </c>
      <c r="AA11" s="6">
        <v>1</v>
      </c>
      <c r="AB11" s="6" t="s">
        <v>38</v>
      </c>
      <c r="AC11" s="6" t="s">
        <v>13</v>
      </c>
      <c r="AD11" s="6" t="s">
        <v>17</v>
      </c>
      <c r="AE11" s="7" t="s">
        <v>18</v>
      </c>
    </row>
    <row r="12" spans="1:31" x14ac:dyDescent="0.3">
      <c r="A12" s="9">
        <v>44207</v>
      </c>
      <c r="B12" s="8" t="s">
        <v>41</v>
      </c>
      <c r="C12" s="8" t="s">
        <v>45</v>
      </c>
      <c r="D12" s="6" t="s">
        <v>8</v>
      </c>
      <c r="E12" s="6" t="s">
        <v>33</v>
      </c>
      <c r="F12" s="6" t="s">
        <v>37</v>
      </c>
      <c r="G12" s="6">
        <v>1</v>
      </c>
      <c r="H12" s="6" t="s">
        <v>28</v>
      </c>
      <c r="I12" s="6" t="s">
        <v>9</v>
      </c>
      <c r="J12" s="6" t="s">
        <v>9</v>
      </c>
      <c r="K12" s="7" t="s">
        <v>18</v>
      </c>
      <c r="U12" s="9">
        <v>44207</v>
      </c>
      <c r="V12" s="8" t="s">
        <v>41</v>
      </c>
      <c r="W12" s="8" t="s">
        <v>45</v>
      </c>
      <c r="X12" s="6" t="s">
        <v>8</v>
      </c>
      <c r="Y12" s="6" t="s">
        <v>33</v>
      </c>
      <c r="Z12" s="6" t="s">
        <v>37</v>
      </c>
      <c r="AA12" s="6">
        <v>1</v>
      </c>
      <c r="AB12" s="6" t="s">
        <v>28</v>
      </c>
      <c r="AC12" s="6" t="s">
        <v>9</v>
      </c>
      <c r="AD12" s="6" t="s">
        <v>9</v>
      </c>
      <c r="AE12" s="7" t="s">
        <v>18</v>
      </c>
    </row>
    <row r="13" spans="1:31" x14ac:dyDescent="0.3">
      <c r="A13" s="9">
        <v>44208</v>
      </c>
      <c r="B13" s="8" t="s">
        <v>41</v>
      </c>
      <c r="C13" s="8"/>
      <c r="D13" s="6" t="s">
        <v>19</v>
      </c>
      <c r="E13" s="6" t="s">
        <v>39</v>
      </c>
      <c r="F13" s="6" t="s">
        <v>34</v>
      </c>
      <c r="G13" s="6">
        <v>1</v>
      </c>
      <c r="H13" s="6" t="s">
        <v>28</v>
      </c>
      <c r="I13" s="6" t="s">
        <v>17</v>
      </c>
      <c r="J13" s="6" t="s">
        <v>9</v>
      </c>
      <c r="K13" s="7" t="s">
        <v>14</v>
      </c>
      <c r="U13" s="9">
        <v>44208</v>
      </c>
      <c r="V13" s="8" t="s">
        <v>41</v>
      </c>
      <c r="W13" s="8"/>
      <c r="X13" s="6" t="s">
        <v>19</v>
      </c>
      <c r="Y13" s="6" t="s">
        <v>39</v>
      </c>
      <c r="Z13" s="6" t="s">
        <v>34</v>
      </c>
      <c r="AA13" s="6">
        <v>1</v>
      </c>
      <c r="AB13" s="6" t="s">
        <v>28</v>
      </c>
      <c r="AC13" s="6" t="s">
        <v>17</v>
      </c>
      <c r="AD13" s="6" t="s">
        <v>9</v>
      </c>
      <c r="AE13" s="7" t="s">
        <v>14</v>
      </c>
    </row>
    <row r="14" spans="1:31" x14ac:dyDescent="0.3">
      <c r="A14" s="9">
        <v>44209</v>
      </c>
      <c r="B14" s="8" t="s">
        <v>41</v>
      </c>
      <c r="C14" s="8"/>
      <c r="D14" s="6" t="s">
        <v>22</v>
      </c>
      <c r="E14" s="6" t="s">
        <v>29</v>
      </c>
      <c r="F14" s="6" t="s">
        <v>34</v>
      </c>
      <c r="G14" s="6">
        <v>1</v>
      </c>
      <c r="H14" s="6" t="s">
        <v>31</v>
      </c>
      <c r="I14" s="6" t="s">
        <v>13</v>
      </c>
      <c r="J14" s="6" t="s">
        <v>16</v>
      </c>
      <c r="K14" s="7" t="s">
        <v>21</v>
      </c>
      <c r="U14" s="9">
        <v>44209</v>
      </c>
      <c r="V14" s="8" t="s">
        <v>41</v>
      </c>
      <c r="W14" s="8"/>
      <c r="X14" s="6" t="s">
        <v>22</v>
      </c>
      <c r="Y14" s="6" t="s">
        <v>29</v>
      </c>
      <c r="Z14" s="6" t="s">
        <v>34</v>
      </c>
      <c r="AA14" s="6">
        <v>1</v>
      </c>
      <c r="AB14" s="6" t="s">
        <v>31</v>
      </c>
      <c r="AC14" s="6" t="s">
        <v>13</v>
      </c>
      <c r="AD14" s="6" t="s">
        <v>16</v>
      </c>
      <c r="AE14" s="7" t="s">
        <v>21</v>
      </c>
    </row>
    <row r="15" spans="1:31" x14ac:dyDescent="0.3">
      <c r="A15" s="9">
        <v>44210</v>
      </c>
      <c r="B15" s="8" t="s">
        <v>41</v>
      </c>
      <c r="C15" s="8"/>
      <c r="D15" s="6" t="s">
        <v>8</v>
      </c>
      <c r="E15" s="6" t="s">
        <v>29</v>
      </c>
      <c r="F15" s="6" t="s">
        <v>34</v>
      </c>
      <c r="G15" s="6">
        <v>1</v>
      </c>
      <c r="H15" s="6" t="s">
        <v>28</v>
      </c>
      <c r="I15" s="6" t="s">
        <v>9</v>
      </c>
      <c r="J15" s="6" t="s">
        <v>16</v>
      </c>
      <c r="K15" s="7" t="s">
        <v>14</v>
      </c>
      <c r="U15" s="9">
        <v>44210</v>
      </c>
      <c r="V15" s="8" t="s">
        <v>41</v>
      </c>
      <c r="W15" s="8"/>
      <c r="X15" s="6" t="s">
        <v>8</v>
      </c>
      <c r="Y15" s="6" t="s">
        <v>29</v>
      </c>
      <c r="Z15" s="6" t="s">
        <v>34</v>
      </c>
      <c r="AA15" s="6">
        <v>1</v>
      </c>
      <c r="AB15" s="6" t="s">
        <v>28</v>
      </c>
      <c r="AC15" s="6" t="s">
        <v>9</v>
      </c>
      <c r="AD15" s="6" t="s">
        <v>16</v>
      </c>
      <c r="AE15" s="7" t="s">
        <v>14</v>
      </c>
    </row>
    <row r="16" spans="1:31" x14ac:dyDescent="0.3">
      <c r="A16" s="9">
        <v>44211</v>
      </c>
      <c r="B16" s="8" t="s">
        <v>41</v>
      </c>
      <c r="C16" s="8"/>
      <c r="D16" s="6" t="s">
        <v>22</v>
      </c>
      <c r="E16" s="6" t="s">
        <v>26</v>
      </c>
      <c r="F16" s="6" t="s">
        <v>40</v>
      </c>
      <c r="G16" s="6">
        <v>1</v>
      </c>
      <c r="H16" s="6" t="s">
        <v>38</v>
      </c>
      <c r="I16" s="6" t="s">
        <v>9</v>
      </c>
      <c r="J16" s="6" t="s">
        <v>9</v>
      </c>
      <c r="K16" s="7" t="s">
        <v>18</v>
      </c>
      <c r="U16" s="9">
        <v>44211</v>
      </c>
      <c r="V16" s="8" t="s">
        <v>41</v>
      </c>
      <c r="W16" s="8"/>
      <c r="X16" s="6" t="s">
        <v>22</v>
      </c>
      <c r="Y16" s="6" t="s">
        <v>26</v>
      </c>
      <c r="Z16" s="6" t="s">
        <v>40</v>
      </c>
      <c r="AA16" s="6">
        <v>1</v>
      </c>
      <c r="AB16" s="6" t="s">
        <v>38</v>
      </c>
      <c r="AC16" s="6" t="s">
        <v>9</v>
      </c>
      <c r="AD16" s="6" t="s">
        <v>9</v>
      </c>
      <c r="AE16" s="7" t="s">
        <v>18</v>
      </c>
    </row>
    <row r="17" spans="1:31" x14ac:dyDescent="0.3">
      <c r="A17" s="9">
        <v>44212</v>
      </c>
      <c r="B17" s="8" t="s">
        <v>41</v>
      </c>
      <c r="C17" s="8" t="s">
        <v>44</v>
      </c>
      <c r="D17" s="6" t="s">
        <v>22</v>
      </c>
      <c r="E17" s="6" t="s">
        <v>36</v>
      </c>
      <c r="F17" s="6" t="s">
        <v>34</v>
      </c>
      <c r="G17" s="6">
        <v>1</v>
      </c>
      <c r="H17" s="6" t="s">
        <v>38</v>
      </c>
      <c r="I17" s="6" t="s">
        <v>13</v>
      </c>
      <c r="J17" s="6" t="s">
        <v>16</v>
      </c>
      <c r="K17" s="7" t="s">
        <v>18</v>
      </c>
      <c r="U17" s="9">
        <v>44212</v>
      </c>
      <c r="V17" s="8" t="s">
        <v>41</v>
      </c>
      <c r="W17" s="8" t="s">
        <v>44</v>
      </c>
      <c r="X17" s="6" t="s">
        <v>22</v>
      </c>
      <c r="Y17" s="6" t="s">
        <v>36</v>
      </c>
      <c r="Z17" s="6" t="s">
        <v>34</v>
      </c>
      <c r="AA17" s="6">
        <v>1</v>
      </c>
      <c r="AB17" s="6" t="s">
        <v>38</v>
      </c>
      <c r="AC17" s="6" t="s">
        <v>13</v>
      </c>
      <c r="AD17" s="6" t="s">
        <v>16</v>
      </c>
      <c r="AE17" s="7" t="s">
        <v>18</v>
      </c>
    </row>
    <row r="18" spans="1:31" x14ac:dyDescent="0.3">
      <c r="A18" s="9">
        <v>44213</v>
      </c>
      <c r="B18" s="8" t="s">
        <v>41</v>
      </c>
      <c r="C18" s="8"/>
      <c r="D18" s="6" t="s">
        <v>22</v>
      </c>
      <c r="E18" s="6" t="s">
        <v>33</v>
      </c>
      <c r="F18" s="6" t="s">
        <v>30</v>
      </c>
      <c r="G18" s="6">
        <v>0</v>
      </c>
      <c r="H18" s="6" t="s">
        <v>28</v>
      </c>
      <c r="I18" s="6" t="s">
        <v>17</v>
      </c>
      <c r="J18" s="6" t="s">
        <v>17</v>
      </c>
      <c r="K18" s="7" t="s">
        <v>18</v>
      </c>
      <c r="U18" s="9">
        <v>44213</v>
      </c>
      <c r="V18" s="8" t="s">
        <v>41</v>
      </c>
      <c r="W18" s="8"/>
      <c r="X18" s="6" t="s">
        <v>22</v>
      </c>
      <c r="Y18" s="6" t="s">
        <v>33</v>
      </c>
      <c r="Z18" s="6" t="s">
        <v>30</v>
      </c>
      <c r="AA18" s="6">
        <v>0</v>
      </c>
      <c r="AB18" s="6" t="s">
        <v>28</v>
      </c>
      <c r="AC18" s="6" t="s">
        <v>17</v>
      </c>
      <c r="AD18" s="6" t="s">
        <v>17</v>
      </c>
      <c r="AE18" s="7" t="s">
        <v>18</v>
      </c>
    </row>
    <row r="19" spans="1:31" x14ac:dyDescent="0.3">
      <c r="A19" s="9">
        <v>44218</v>
      </c>
      <c r="B19" s="8" t="s">
        <v>41</v>
      </c>
      <c r="C19" s="8" t="s">
        <v>48</v>
      </c>
      <c r="D19" s="6" t="s">
        <v>19</v>
      </c>
      <c r="E19" s="6" t="s">
        <v>26</v>
      </c>
      <c r="F19" s="6" t="s">
        <v>34</v>
      </c>
      <c r="G19" s="6">
        <v>0</v>
      </c>
      <c r="H19" s="6" t="s">
        <v>35</v>
      </c>
      <c r="I19" s="6" t="s">
        <v>13</v>
      </c>
      <c r="J19" s="6" t="s">
        <v>13</v>
      </c>
      <c r="K19" s="7" t="s">
        <v>14</v>
      </c>
      <c r="U19" s="9">
        <v>44218</v>
      </c>
      <c r="V19" s="8" t="s">
        <v>41</v>
      </c>
      <c r="W19" s="8" t="s">
        <v>48</v>
      </c>
      <c r="X19" s="6" t="s">
        <v>19</v>
      </c>
      <c r="Y19" s="6" t="s">
        <v>26</v>
      </c>
      <c r="Z19" s="6" t="s">
        <v>34</v>
      </c>
      <c r="AA19" s="6">
        <v>0</v>
      </c>
      <c r="AB19" s="6" t="s">
        <v>35</v>
      </c>
      <c r="AC19" s="6" t="s">
        <v>13</v>
      </c>
      <c r="AD19" s="6" t="s">
        <v>13</v>
      </c>
      <c r="AE19" s="7" t="s">
        <v>14</v>
      </c>
    </row>
    <row r="20" spans="1:31" x14ac:dyDescent="0.3">
      <c r="A20" s="9">
        <v>44215</v>
      </c>
      <c r="B20" s="8" t="s">
        <v>41</v>
      </c>
      <c r="C20" s="8"/>
      <c r="D20" s="6" t="s">
        <v>8</v>
      </c>
      <c r="E20" s="6" t="s">
        <v>26</v>
      </c>
      <c r="F20" s="6" t="s">
        <v>37</v>
      </c>
      <c r="G20" s="6">
        <v>0</v>
      </c>
      <c r="H20" s="6" t="s">
        <v>35</v>
      </c>
      <c r="I20" s="6" t="s">
        <v>13</v>
      </c>
      <c r="J20" s="6" t="s">
        <v>9</v>
      </c>
      <c r="K20" s="7" t="s">
        <v>11</v>
      </c>
      <c r="U20" s="9">
        <v>44215</v>
      </c>
      <c r="V20" s="8" t="s">
        <v>41</v>
      </c>
      <c r="W20" s="8"/>
      <c r="X20" s="6" t="s">
        <v>8</v>
      </c>
      <c r="Y20" s="6" t="s">
        <v>26</v>
      </c>
      <c r="Z20" s="6" t="s">
        <v>37</v>
      </c>
      <c r="AA20" s="6">
        <v>0</v>
      </c>
      <c r="AB20" s="6" t="s">
        <v>35</v>
      </c>
      <c r="AC20" s="6" t="s">
        <v>13</v>
      </c>
      <c r="AD20" s="6" t="s">
        <v>9</v>
      </c>
      <c r="AE20" s="7" t="s">
        <v>11</v>
      </c>
    </row>
    <row r="21" spans="1:31" x14ac:dyDescent="0.3">
      <c r="A21" s="9">
        <v>44216</v>
      </c>
      <c r="B21" s="8" t="s">
        <v>41</v>
      </c>
      <c r="C21" s="8"/>
      <c r="D21" s="6" t="s">
        <v>22</v>
      </c>
      <c r="E21" s="6" t="s">
        <v>33</v>
      </c>
      <c r="F21" s="6" t="s">
        <v>40</v>
      </c>
      <c r="G21" s="6">
        <v>1</v>
      </c>
      <c r="H21" s="6" t="s">
        <v>31</v>
      </c>
      <c r="I21" s="6" t="s">
        <v>9</v>
      </c>
      <c r="J21" s="6" t="s">
        <v>17</v>
      </c>
      <c r="K21" s="7" t="s">
        <v>21</v>
      </c>
      <c r="U21" s="9">
        <v>44216</v>
      </c>
      <c r="V21" s="8" t="s">
        <v>41</v>
      </c>
      <c r="W21" s="8"/>
      <c r="X21" s="6" t="s">
        <v>22</v>
      </c>
      <c r="Y21" s="6" t="s">
        <v>33</v>
      </c>
      <c r="Z21" s="6" t="s">
        <v>40</v>
      </c>
      <c r="AA21" s="6">
        <v>1</v>
      </c>
      <c r="AB21" s="6" t="s">
        <v>31</v>
      </c>
      <c r="AC21" s="6" t="s">
        <v>9</v>
      </c>
      <c r="AD21" s="6" t="s">
        <v>17</v>
      </c>
      <c r="AE21" s="7" t="s">
        <v>21</v>
      </c>
    </row>
    <row r="22" spans="1:31" x14ac:dyDescent="0.3">
      <c r="A22" s="9">
        <v>44217</v>
      </c>
      <c r="B22" s="8" t="s">
        <v>41</v>
      </c>
      <c r="C22" s="8"/>
      <c r="D22" s="6" t="s">
        <v>15</v>
      </c>
      <c r="E22" s="6" t="s">
        <v>29</v>
      </c>
      <c r="F22" s="6" t="s">
        <v>40</v>
      </c>
      <c r="G22" s="6">
        <v>0</v>
      </c>
      <c r="H22" s="6" t="s">
        <v>35</v>
      </c>
      <c r="I22" s="6" t="s">
        <v>16</v>
      </c>
      <c r="J22" s="6" t="s">
        <v>16</v>
      </c>
      <c r="K22" s="7" t="s">
        <v>21</v>
      </c>
      <c r="U22" s="9">
        <v>44217</v>
      </c>
      <c r="V22" s="8" t="s">
        <v>41</v>
      </c>
      <c r="W22" s="8"/>
      <c r="X22" s="6" t="s">
        <v>15</v>
      </c>
      <c r="Y22" s="6" t="s">
        <v>29</v>
      </c>
      <c r="Z22" s="6" t="s">
        <v>40</v>
      </c>
      <c r="AA22" s="6">
        <v>0</v>
      </c>
      <c r="AB22" s="6" t="s">
        <v>35</v>
      </c>
      <c r="AC22" s="6" t="s">
        <v>16</v>
      </c>
      <c r="AD22" s="6" t="s">
        <v>16</v>
      </c>
      <c r="AE22" s="7" t="s">
        <v>21</v>
      </c>
    </row>
    <row r="23" spans="1:31" x14ac:dyDescent="0.3">
      <c r="A23" s="9">
        <v>44214</v>
      </c>
      <c r="B23" s="8" t="s">
        <v>41</v>
      </c>
      <c r="C23" s="8"/>
      <c r="D23" s="6" t="s">
        <v>19</v>
      </c>
      <c r="E23" s="6" t="s">
        <v>36</v>
      </c>
      <c r="F23" s="6" t="s">
        <v>27</v>
      </c>
      <c r="G23" s="6">
        <v>0</v>
      </c>
      <c r="H23" s="6" t="s">
        <v>28</v>
      </c>
      <c r="I23" s="6" t="s">
        <v>16</v>
      </c>
      <c r="J23" s="6" t="s">
        <v>9</v>
      </c>
      <c r="K23" s="7" t="s">
        <v>20</v>
      </c>
      <c r="U23" s="9">
        <v>44214</v>
      </c>
      <c r="V23" s="8" t="s">
        <v>41</v>
      </c>
      <c r="W23" s="8"/>
      <c r="X23" s="6" t="s">
        <v>19</v>
      </c>
      <c r="Y23" s="6" t="s">
        <v>36</v>
      </c>
      <c r="Z23" s="6" t="s">
        <v>27</v>
      </c>
      <c r="AA23" s="6">
        <v>0</v>
      </c>
      <c r="AB23" s="6" t="s">
        <v>28</v>
      </c>
      <c r="AC23" s="6" t="s">
        <v>16</v>
      </c>
      <c r="AD23" s="6" t="s">
        <v>9</v>
      </c>
      <c r="AE23" s="7" t="s">
        <v>20</v>
      </c>
    </row>
    <row r="24" spans="1:31" x14ac:dyDescent="0.3">
      <c r="A24" s="9">
        <v>44219</v>
      </c>
      <c r="B24" s="8" t="s">
        <v>41</v>
      </c>
      <c r="C24" s="8" t="s">
        <v>47</v>
      </c>
      <c r="D24" s="6" t="s">
        <v>22</v>
      </c>
      <c r="E24" s="6" t="s">
        <v>33</v>
      </c>
      <c r="F24" s="6" t="s">
        <v>37</v>
      </c>
      <c r="G24" s="6">
        <v>1</v>
      </c>
      <c r="H24" s="6" t="s">
        <v>38</v>
      </c>
      <c r="I24" s="6" t="s">
        <v>9</v>
      </c>
      <c r="J24" s="6" t="s">
        <v>16</v>
      </c>
      <c r="K24" s="7" t="s">
        <v>21</v>
      </c>
      <c r="U24" s="9">
        <v>44219</v>
      </c>
      <c r="V24" s="8" t="s">
        <v>41</v>
      </c>
      <c r="W24" s="8" t="s">
        <v>47</v>
      </c>
      <c r="X24" s="6" t="s">
        <v>22</v>
      </c>
      <c r="Y24" s="6" t="s">
        <v>33</v>
      </c>
      <c r="Z24" s="6" t="s">
        <v>37</v>
      </c>
      <c r="AA24" s="6">
        <v>1</v>
      </c>
      <c r="AB24" s="6" t="s">
        <v>38</v>
      </c>
      <c r="AC24" s="6" t="s">
        <v>9</v>
      </c>
      <c r="AD24" s="6" t="s">
        <v>16</v>
      </c>
      <c r="AE24" s="7" t="s">
        <v>21</v>
      </c>
    </row>
    <row r="25" spans="1:31" x14ac:dyDescent="0.3">
      <c r="A25" s="9">
        <v>44220</v>
      </c>
      <c r="B25" s="8" t="s">
        <v>41</v>
      </c>
      <c r="C25" s="8"/>
      <c r="D25" s="6" t="s">
        <v>8</v>
      </c>
      <c r="E25" s="6" t="s">
        <v>26</v>
      </c>
      <c r="F25" s="6" t="s">
        <v>40</v>
      </c>
      <c r="G25" s="6">
        <v>1</v>
      </c>
      <c r="H25" s="6" t="s">
        <v>28</v>
      </c>
      <c r="I25" s="6" t="s">
        <v>13</v>
      </c>
      <c r="J25" s="6" t="s">
        <v>10</v>
      </c>
      <c r="K25" s="7" t="s">
        <v>18</v>
      </c>
      <c r="U25" s="9">
        <v>44220</v>
      </c>
      <c r="V25" s="8" t="s">
        <v>41</v>
      </c>
      <c r="W25" s="8"/>
      <c r="X25" s="6" t="s">
        <v>8</v>
      </c>
      <c r="Y25" s="6" t="s">
        <v>26</v>
      </c>
      <c r="Z25" s="6" t="s">
        <v>40</v>
      </c>
      <c r="AA25" s="6">
        <v>1</v>
      </c>
      <c r="AB25" s="6" t="s">
        <v>28</v>
      </c>
      <c r="AC25" s="6" t="s">
        <v>13</v>
      </c>
      <c r="AD25" s="6" t="s">
        <v>10</v>
      </c>
      <c r="AE25" s="7" t="s">
        <v>18</v>
      </c>
    </row>
    <row r="26" spans="1:31" x14ac:dyDescent="0.3">
      <c r="A26" s="9">
        <v>44224</v>
      </c>
      <c r="B26" s="8" t="s">
        <v>41</v>
      </c>
      <c r="C26" s="8"/>
      <c r="D26" s="6" t="s">
        <v>22</v>
      </c>
      <c r="E26" s="6" t="s">
        <v>36</v>
      </c>
      <c r="F26" s="6" t="s">
        <v>40</v>
      </c>
      <c r="G26" s="6">
        <v>1</v>
      </c>
      <c r="H26" s="6" t="s">
        <v>32</v>
      </c>
      <c r="I26" s="6" t="s">
        <v>9</v>
      </c>
      <c r="J26" s="6" t="s">
        <v>17</v>
      </c>
      <c r="K26" s="7" t="s">
        <v>20</v>
      </c>
      <c r="U26" s="9">
        <v>44224</v>
      </c>
      <c r="V26" s="8" t="s">
        <v>41</v>
      </c>
      <c r="W26" s="8"/>
      <c r="X26" s="6" t="s">
        <v>22</v>
      </c>
      <c r="Y26" s="6" t="s">
        <v>36</v>
      </c>
      <c r="Z26" s="6" t="s">
        <v>40</v>
      </c>
      <c r="AA26" s="6">
        <v>1</v>
      </c>
      <c r="AB26" s="6" t="s">
        <v>32</v>
      </c>
      <c r="AC26" s="6" t="s">
        <v>9</v>
      </c>
      <c r="AD26" s="6" t="s">
        <v>17</v>
      </c>
      <c r="AE26" s="7" t="s">
        <v>20</v>
      </c>
    </row>
    <row r="27" spans="1:31" x14ac:dyDescent="0.3">
      <c r="A27" s="9">
        <v>44222</v>
      </c>
      <c r="B27" s="8" t="s">
        <v>41</v>
      </c>
      <c r="C27" s="8"/>
      <c r="D27" s="6" t="s">
        <v>12</v>
      </c>
      <c r="E27" s="6" t="s">
        <v>39</v>
      </c>
      <c r="F27" s="6" t="s">
        <v>34</v>
      </c>
      <c r="G27" s="6">
        <v>1</v>
      </c>
      <c r="H27" s="6" t="s">
        <v>32</v>
      </c>
      <c r="I27" s="6" t="s">
        <v>10</v>
      </c>
      <c r="J27" s="6" t="s">
        <v>17</v>
      </c>
      <c r="K27" s="7" t="s">
        <v>14</v>
      </c>
      <c r="U27" s="9">
        <v>44222</v>
      </c>
      <c r="V27" s="8" t="s">
        <v>41</v>
      </c>
      <c r="W27" s="8"/>
      <c r="X27" s="6" t="s">
        <v>12</v>
      </c>
      <c r="Y27" s="6" t="s">
        <v>39</v>
      </c>
      <c r="Z27" s="6" t="s">
        <v>34</v>
      </c>
      <c r="AA27" s="6">
        <v>1</v>
      </c>
      <c r="AB27" s="6" t="s">
        <v>32</v>
      </c>
      <c r="AC27" s="6" t="s">
        <v>10</v>
      </c>
      <c r="AD27" s="6" t="s">
        <v>17</v>
      </c>
      <c r="AE27" s="7" t="s">
        <v>14</v>
      </c>
    </row>
    <row r="28" spans="1:31" x14ac:dyDescent="0.3">
      <c r="A28" s="9">
        <v>44223</v>
      </c>
      <c r="B28" s="8" t="s">
        <v>41</v>
      </c>
      <c r="C28" s="8" t="s">
        <v>49</v>
      </c>
      <c r="D28" s="6" t="s">
        <v>8</v>
      </c>
      <c r="E28" s="6" t="s">
        <v>39</v>
      </c>
      <c r="F28" s="6" t="s">
        <v>40</v>
      </c>
      <c r="G28" s="6">
        <v>0</v>
      </c>
      <c r="H28" s="6" t="s">
        <v>35</v>
      </c>
      <c r="I28" s="6" t="s">
        <v>10</v>
      </c>
      <c r="J28" s="6" t="s">
        <v>17</v>
      </c>
      <c r="K28" s="7" t="s">
        <v>21</v>
      </c>
      <c r="U28" s="9">
        <v>44223</v>
      </c>
      <c r="V28" s="8" t="s">
        <v>41</v>
      </c>
      <c r="W28" s="8" t="s">
        <v>49</v>
      </c>
      <c r="X28" s="6" t="s">
        <v>8</v>
      </c>
      <c r="Y28" s="6" t="s">
        <v>39</v>
      </c>
      <c r="Z28" s="6" t="s">
        <v>40</v>
      </c>
      <c r="AA28" s="6">
        <v>0</v>
      </c>
      <c r="AB28" s="6" t="s">
        <v>35</v>
      </c>
      <c r="AC28" s="6" t="s">
        <v>10</v>
      </c>
      <c r="AD28" s="6" t="s">
        <v>17</v>
      </c>
      <c r="AE28" s="7" t="s">
        <v>21</v>
      </c>
    </row>
    <row r="29" spans="1:31" x14ac:dyDescent="0.3">
      <c r="A29" s="9">
        <v>44221</v>
      </c>
      <c r="B29" s="8" t="s">
        <v>41</v>
      </c>
      <c r="C29" s="8"/>
      <c r="D29" s="6" t="s">
        <v>12</v>
      </c>
      <c r="E29" s="6" t="s">
        <v>26</v>
      </c>
      <c r="F29" s="6" t="s">
        <v>40</v>
      </c>
      <c r="G29" s="6">
        <v>1</v>
      </c>
      <c r="H29" s="6" t="s">
        <v>38</v>
      </c>
      <c r="I29" s="6" t="s">
        <v>13</v>
      </c>
      <c r="J29" s="6" t="s">
        <v>17</v>
      </c>
      <c r="K29" s="7" t="s">
        <v>11</v>
      </c>
      <c r="U29" s="9">
        <v>44221</v>
      </c>
      <c r="V29" s="8" t="s">
        <v>41</v>
      </c>
      <c r="W29" s="8"/>
      <c r="X29" s="6" t="s">
        <v>12</v>
      </c>
      <c r="Y29" s="6" t="s">
        <v>26</v>
      </c>
      <c r="Z29" s="6" t="s">
        <v>40</v>
      </c>
      <c r="AA29" s="6">
        <v>1</v>
      </c>
      <c r="AB29" s="6" t="s">
        <v>38</v>
      </c>
      <c r="AC29" s="6" t="s">
        <v>13</v>
      </c>
      <c r="AD29" s="6" t="s">
        <v>17</v>
      </c>
      <c r="AE29" s="7" t="s">
        <v>11</v>
      </c>
    </row>
    <row r="30" spans="1:31" x14ac:dyDescent="0.3">
      <c r="A30" s="2"/>
      <c r="U30" s="2"/>
    </row>
    <row r="31" spans="1:31" x14ac:dyDescent="0.3">
      <c r="A31" s="2"/>
      <c r="U31" s="2"/>
    </row>
    <row r="32" spans="1:31" x14ac:dyDescent="0.3">
      <c r="A32" s="2"/>
      <c r="U32" s="2"/>
    </row>
    <row r="33" spans="1:21" x14ac:dyDescent="0.3">
      <c r="A33" s="2"/>
      <c r="U33" s="2"/>
    </row>
  </sheetData>
  <sortState xmlns:xlrd2="http://schemas.microsoft.com/office/spreadsheetml/2017/richdata2" ref="A2:I29">
    <sortCondition ref="A2:A29"/>
    <sortCondition ref="D2:D29"/>
    <sortCondition ref="C2:C29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0A19F-C7FA-407F-9619-D5949A5DB80E}">
  <sheetPr codeName="Sheet2"/>
  <dimension ref="A1:AI31"/>
  <sheetViews>
    <sheetView tabSelected="1" workbookViewId="0">
      <selection activeCell="D1" sqref="D1"/>
    </sheetView>
  </sheetViews>
  <sheetFormatPr defaultRowHeight="14.4" x14ac:dyDescent="0.3"/>
  <cols>
    <col min="1" max="1" width="7.21875" style="1" bestFit="1" customWidth="1"/>
    <col min="2" max="2" width="10.5546875" style="2" bestFit="1" customWidth="1"/>
    <col min="3" max="3" width="10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2.5546875" style="1" bestFit="1" customWidth="1"/>
    <col min="8" max="8" width="10.21875" style="1" bestFit="1" customWidth="1"/>
    <col min="9" max="9" width="11.21875" bestFit="1" customWidth="1"/>
    <col min="10" max="10" width="11.21875" style="3" bestFit="1" customWidth="1"/>
    <col min="26" max="26" width="7.21875" style="1" bestFit="1" customWidth="1"/>
    <col min="27" max="27" width="10.5546875" style="2" bestFit="1" customWidth="1"/>
    <col min="28" max="28" width="10" style="1" bestFit="1" customWidth="1"/>
    <col min="29" max="29" width="15.88671875" style="1" bestFit="1" customWidth="1"/>
    <col min="30" max="31" width="17" style="1" bestFit="1" customWidth="1"/>
    <col min="32" max="32" width="12.5546875" style="1" bestFit="1" customWidth="1"/>
    <col min="33" max="33" width="9.77734375" style="1" bestFit="1" customWidth="1"/>
    <col min="34" max="34" width="10.6640625" bestFit="1" customWidth="1"/>
    <col min="35" max="35" width="10.77734375" style="3" bestFit="1" customWidth="1"/>
  </cols>
  <sheetData>
    <row r="1" spans="1:35" s="1" customFormat="1" x14ac:dyDescent="0.3">
      <c r="A1" s="14" t="s">
        <v>3</v>
      </c>
      <c r="B1" s="17" t="s">
        <v>1</v>
      </c>
      <c r="C1" s="14" t="s">
        <v>2</v>
      </c>
      <c r="D1" s="14" t="s">
        <v>0</v>
      </c>
      <c r="E1" s="14" t="s">
        <v>23</v>
      </c>
      <c r="F1" s="14" t="s">
        <v>24</v>
      </c>
      <c r="G1" s="14" t="s">
        <v>25</v>
      </c>
      <c r="H1" s="14" t="s">
        <v>4</v>
      </c>
      <c r="I1" s="14" t="s">
        <v>5</v>
      </c>
      <c r="J1" s="15" t="s">
        <v>6</v>
      </c>
      <c r="Z1" s="11" t="s">
        <v>3</v>
      </c>
      <c r="AA1" s="12" t="s">
        <v>1</v>
      </c>
      <c r="AB1" s="11" t="s">
        <v>2</v>
      </c>
      <c r="AC1" s="11" t="s">
        <v>0</v>
      </c>
      <c r="AD1" s="11" t="s">
        <v>23</v>
      </c>
      <c r="AE1" s="11" t="s">
        <v>24</v>
      </c>
      <c r="AF1" s="11" t="s">
        <v>25</v>
      </c>
      <c r="AG1" s="11" t="s">
        <v>4</v>
      </c>
      <c r="AH1" s="11" t="s">
        <v>5</v>
      </c>
      <c r="AI1" s="13" t="s">
        <v>6</v>
      </c>
    </row>
    <row r="2" spans="1:35" x14ac:dyDescent="0.3">
      <c r="A2" s="4" t="str">
        <f>TEXT(B2,"MMMM")</f>
        <v>November</v>
      </c>
      <c r="B2" s="5">
        <v>44501</v>
      </c>
      <c r="C2" s="6" t="s">
        <v>7</v>
      </c>
      <c r="D2" s="6" t="s">
        <v>8</v>
      </c>
      <c r="E2" s="6" t="s">
        <v>26</v>
      </c>
      <c r="F2" s="6" t="s">
        <v>27</v>
      </c>
      <c r="G2" s="6" t="s">
        <v>28</v>
      </c>
      <c r="H2" s="6" t="s">
        <v>9</v>
      </c>
      <c r="I2" s="6" t="s">
        <v>9</v>
      </c>
      <c r="J2" s="7" t="s">
        <v>11</v>
      </c>
      <c r="Z2" s="4" t="str">
        <f>TEXT(AA2,"MMMM")</f>
        <v>January</v>
      </c>
      <c r="AA2" s="5">
        <v>44197</v>
      </c>
      <c r="AB2" s="6">
        <v>740018760</v>
      </c>
      <c r="AC2" s="6" t="str">
        <f ca="1">CHOOSE(RANDBETWEEN(1,5),"George Mason","Matt Acer","Ann Taylor","Sam Quinn","Jennifer Lawrence")</f>
        <v>Ann Taylor</v>
      </c>
      <c r="AD2" s="6" t="str">
        <f ca="1">CHOOSE(RANDBETWEEN(1,5),"Mathew Salazar","Margaret Cayabyab","Joy Giron","Jesslyn Mendez","Emily Carson")</f>
        <v>Mathew Salazar</v>
      </c>
      <c r="AE2" s="6" t="str">
        <f ca="1">CHOOSE(RANDBETWEEN(1,5),"Harold Hugh","Marshal Fschl","Kamisato Ryou","Marvin Wagner","Ismael Khaleed")</f>
        <v>Marvin Wagner</v>
      </c>
      <c r="AF2" s="6" t="str">
        <f ca="1">CHOOSE(RANDBETWEEN(1,5),"Best Buy","Sears","Bankcards","Sears Connect","UNV Brands")</f>
        <v>Sears</v>
      </c>
      <c r="AG2" s="6" t="str">
        <f ca="1">CHOOSE(RANDBETWEEN(1,5),"80%","97%","78%","88%","94%")</f>
        <v>80%</v>
      </c>
      <c r="AH2" s="6" t="str">
        <f ca="1">CHOOSE(RANDBETWEEN(1,5),"80%","97%","78%","88%","94%")</f>
        <v>97%</v>
      </c>
      <c r="AI2" s="7" t="str">
        <f ca="1">CHOOSE(RANDBETWEEN(1,5),"$ 31,685.43","$ 41,685.43","$ 45,142.41","$ 28,184.87","$ 46,115.12")</f>
        <v>$ 41,685.43</v>
      </c>
    </row>
    <row r="3" spans="1:35" x14ac:dyDescent="0.3">
      <c r="A3" s="4" t="str">
        <f t="shared" ref="A3:A29" si="0">TEXT(B3,"MMMM")</f>
        <v>November</v>
      </c>
      <c r="B3" s="5">
        <f>B2+1</f>
        <v>44502</v>
      </c>
      <c r="C3" s="6" t="s">
        <v>7</v>
      </c>
      <c r="D3" s="6" t="s">
        <v>15</v>
      </c>
      <c r="E3" s="6" t="s">
        <v>29</v>
      </c>
      <c r="F3" s="6" t="s">
        <v>30</v>
      </c>
      <c r="G3" s="6" t="s">
        <v>31</v>
      </c>
      <c r="H3" s="6" t="s">
        <v>16</v>
      </c>
      <c r="I3" s="6" t="s">
        <v>10</v>
      </c>
      <c r="J3" s="7" t="s">
        <v>18</v>
      </c>
      <c r="Z3" s="4" t="str">
        <f t="shared" ref="Z3:Z29" si="1">TEXT(AA3,"MMMM")</f>
        <v>January</v>
      </c>
      <c r="AA3" s="5">
        <f>AA2+1</f>
        <v>44198</v>
      </c>
      <c r="AB3" s="6">
        <v>740018760</v>
      </c>
      <c r="AC3" s="6" t="str">
        <f t="shared" ref="AC3:AC29" ca="1" si="2">CHOOSE(RANDBETWEEN(1,5),"George Mason","Matt Acer","Ann Taylor","Sam Quinn","Jennifer Lawrence")</f>
        <v>Matt Acer</v>
      </c>
      <c r="AD3" s="6" t="str">
        <f t="shared" ref="AD3:AD29" ca="1" si="3">CHOOSE(RANDBETWEEN(1,5),"Mathew Salazar","Margaret Cayabyab","Joy Giron","Jesslyn Mendez","Emily Carson")</f>
        <v>Margaret Cayabyab</v>
      </c>
      <c r="AE3" s="6" t="str">
        <f t="shared" ref="AE3:AE29" ca="1" si="4">CHOOSE(RANDBETWEEN(1,5),"Harold Hugh","Marshal Fschl","Kamisato Ryou","Marvin Wagner","Ismael Khaleed")</f>
        <v>Marvin Wagner</v>
      </c>
      <c r="AF3" s="6" t="str">
        <f t="shared" ref="AF3:AF29" ca="1" si="5">CHOOSE(RANDBETWEEN(1,5),"Best Buy","Sears","Bankcards","Sears Connect","UNV Brands")</f>
        <v>Bankcards</v>
      </c>
      <c r="AG3" s="6" t="str">
        <f t="shared" ref="AG3:AH29" ca="1" si="6">CHOOSE(RANDBETWEEN(1,5),"80%","97%","78%","88%","94%")</f>
        <v>78%</v>
      </c>
      <c r="AH3" s="6" t="str">
        <f ca="1">CHOOSE(RANDBETWEEN(1,5),"80%","97%","78%","88%","94%")</f>
        <v>78%</v>
      </c>
      <c r="AI3" s="7" t="str">
        <f t="shared" ref="AI3:AI29" ca="1" si="7">CHOOSE(RANDBETWEEN(1,5),"$ 31,685.43","$ 41,685.43","$ 45,142.41","$ 28,184.87","$ 46,115.12")</f>
        <v>$ 28,184.87</v>
      </c>
    </row>
    <row r="4" spans="1:35" x14ac:dyDescent="0.3">
      <c r="A4" s="4" t="str">
        <f t="shared" si="0"/>
        <v>November</v>
      </c>
      <c r="B4" s="5">
        <f t="shared" ref="B4:B31" si="8">B3+1</f>
        <v>44503</v>
      </c>
      <c r="C4" s="6" t="s">
        <v>7</v>
      </c>
      <c r="D4" s="6" t="s">
        <v>19</v>
      </c>
      <c r="E4" s="6" t="s">
        <v>26</v>
      </c>
      <c r="F4" s="6" t="s">
        <v>27</v>
      </c>
      <c r="G4" s="6" t="s">
        <v>32</v>
      </c>
      <c r="H4" s="6" t="s">
        <v>17</v>
      </c>
      <c r="I4" s="6" t="s">
        <v>13</v>
      </c>
      <c r="J4" s="7" t="s">
        <v>20</v>
      </c>
      <c r="Z4" s="4" t="str">
        <f t="shared" si="1"/>
        <v>January</v>
      </c>
      <c r="AA4" s="5">
        <f t="shared" ref="AA4:AA29" si="9">AA3+1</f>
        <v>44199</v>
      </c>
      <c r="AB4" s="6">
        <v>740018760</v>
      </c>
      <c r="AC4" s="6" t="str">
        <f t="shared" ca="1" si="2"/>
        <v>Sam Quinn</v>
      </c>
      <c r="AD4" s="6" t="str">
        <f t="shared" ca="1" si="3"/>
        <v>Emily Carson</v>
      </c>
      <c r="AE4" s="6" t="str">
        <f t="shared" ca="1" si="4"/>
        <v>Kamisato Ryou</v>
      </c>
      <c r="AF4" s="6" t="str">
        <f t="shared" ca="1" si="5"/>
        <v>Sears</v>
      </c>
      <c r="AG4" s="6" t="str">
        <f t="shared" ca="1" si="6"/>
        <v>97%</v>
      </c>
      <c r="AH4" s="6" t="str">
        <f t="shared" ca="1" si="6"/>
        <v>97%</v>
      </c>
      <c r="AI4" s="7" t="str">
        <f t="shared" ca="1" si="7"/>
        <v>$ 31,685.43</v>
      </c>
    </row>
    <row r="5" spans="1:35" x14ac:dyDescent="0.3">
      <c r="A5" s="4" t="str">
        <f t="shared" si="0"/>
        <v>November</v>
      </c>
      <c r="B5" s="5">
        <f t="shared" si="8"/>
        <v>44504</v>
      </c>
      <c r="C5" s="6" t="s">
        <v>7</v>
      </c>
      <c r="D5" s="6" t="s">
        <v>22</v>
      </c>
      <c r="E5" s="6" t="s">
        <v>36</v>
      </c>
      <c r="F5" s="6" t="s">
        <v>37</v>
      </c>
      <c r="G5" s="6" t="s">
        <v>38</v>
      </c>
      <c r="H5" s="6" t="s">
        <v>10</v>
      </c>
      <c r="I5" s="6" t="s">
        <v>10</v>
      </c>
      <c r="J5" s="7" t="s">
        <v>18</v>
      </c>
      <c r="Z5" s="4" t="str">
        <f t="shared" si="1"/>
        <v>January</v>
      </c>
      <c r="AA5" s="5">
        <f t="shared" si="9"/>
        <v>44200</v>
      </c>
      <c r="AB5" s="6">
        <v>740018760</v>
      </c>
      <c r="AC5" s="6" t="str">
        <f t="shared" ca="1" si="2"/>
        <v>Jennifer Lawrence</v>
      </c>
      <c r="AD5" s="6" t="str">
        <f t="shared" ca="1" si="3"/>
        <v>Jesslyn Mendez</v>
      </c>
      <c r="AE5" s="6" t="str">
        <f t="shared" ca="1" si="4"/>
        <v>Ismael Khaleed</v>
      </c>
      <c r="AF5" s="6" t="str">
        <f t="shared" ca="1" si="5"/>
        <v>UNV Brands</v>
      </c>
      <c r="AG5" s="6" t="str">
        <f t="shared" ca="1" si="6"/>
        <v>88%</v>
      </c>
      <c r="AH5" s="6" t="str">
        <f t="shared" ca="1" si="6"/>
        <v>88%</v>
      </c>
      <c r="AI5" s="7" t="str">
        <f t="shared" ca="1" si="7"/>
        <v>$ 45,142.41</v>
      </c>
    </row>
    <row r="6" spans="1:35" x14ac:dyDescent="0.3">
      <c r="A6" s="4" t="str">
        <f t="shared" si="0"/>
        <v>November</v>
      </c>
      <c r="B6" s="5">
        <f t="shared" si="8"/>
        <v>44505</v>
      </c>
      <c r="C6" s="6" t="s">
        <v>7</v>
      </c>
      <c r="D6" s="6" t="s">
        <v>19</v>
      </c>
      <c r="E6" s="6" t="s">
        <v>29</v>
      </c>
      <c r="F6" s="6" t="s">
        <v>30</v>
      </c>
      <c r="G6" s="6" t="s">
        <v>32</v>
      </c>
      <c r="H6" s="6" t="s">
        <v>9</v>
      </c>
      <c r="I6" s="6" t="s">
        <v>10</v>
      </c>
      <c r="J6" s="7" t="s">
        <v>20</v>
      </c>
      <c r="Z6" s="4" t="str">
        <f t="shared" si="1"/>
        <v>January</v>
      </c>
      <c r="AA6" s="5">
        <f t="shared" si="9"/>
        <v>44201</v>
      </c>
      <c r="AB6" s="6">
        <v>740018760</v>
      </c>
      <c r="AC6" s="6" t="str">
        <f t="shared" ca="1" si="2"/>
        <v>Sam Quinn</v>
      </c>
      <c r="AD6" s="6" t="str">
        <f t="shared" ca="1" si="3"/>
        <v>Margaret Cayabyab</v>
      </c>
      <c r="AE6" s="6" t="str">
        <f t="shared" ca="1" si="4"/>
        <v>Marvin Wagner</v>
      </c>
      <c r="AF6" s="6" t="str">
        <f t="shared" ca="1" si="5"/>
        <v>Bankcards</v>
      </c>
      <c r="AG6" s="6" t="str">
        <f t="shared" ca="1" si="6"/>
        <v>94%</v>
      </c>
      <c r="AH6" s="6" t="str">
        <f t="shared" ca="1" si="6"/>
        <v>94%</v>
      </c>
      <c r="AI6" s="7" t="str">
        <f t="shared" ca="1" si="7"/>
        <v>$ 28,184.87</v>
      </c>
    </row>
    <row r="7" spans="1:35" x14ac:dyDescent="0.3">
      <c r="A7" s="4" t="str">
        <f t="shared" si="0"/>
        <v>November</v>
      </c>
      <c r="B7" s="5">
        <f t="shared" si="8"/>
        <v>44506</v>
      </c>
      <c r="C7" s="6" t="s">
        <v>7</v>
      </c>
      <c r="D7" s="6" t="s">
        <v>15</v>
      </c>
      <c r="E7" s="6" t="s">
        <v>33</v>
      </c>
      <c r="F7" s="6" t="s">
        <v>30</v>
      </c>
      <c r="G7" s="6" t="s">
        <v>31</v>
      </c>
      <c r="H7" s="6" t="s">
        <v>16</v>
      </c>
      <c r="I7" s="6" t="s">
        <v>16</v>
      </c>
      <c r="J7" s="7" t="s">
        <v>14</v>
      </c>
      <c r="Z7" s="4" t="str">
        <f t="shared" si="1"/>
        <v>January</v>
      </c>
      <c r="AA7" s="5">
        <f t="shared" si="9"/>
        <v>44202</v>
      </c>
      <c r="AB7" s="6">
        <v>740018760</v>
      </c>
      <c r="AC7" s="6" t="str">
        <f t="shared" ca="1" si="2"/>
        <v>Jennifer Lawrence</v>
      </c>
      <c r="AD7" s="6" t="str">
        <f t="shared" ca="1" si="3"/>
        <v>Margaret Cayabyab</v>
      </c>
      <c r="AE7" s="6" t="str">
        <f t="shared" ca="1" si="4"/>
        <v>Kamisato Ryou</v>
      </c>
      <c r="AF7" s="6" t="str">
        <f t="shared" ca="1" si="5"/>
        <v>Bankcards</v>
      </c>
      <c r="AG7" s="6" t="str">
        <f t="shared" ca="1" si="6"/>
        <v>97%</v>
      </c>
      <c r="AH7" s="6" t="str">
        <f t="shared" ca="1" si="6"/>
        <v>88%</v>
      </c>
      <c r="AI7" s="7" t="str">
        <f t="shared" ca="1" si="7"/>
        <v>$ 45,142.41</v>
      </c>
    </row>
    <row r="8" spans="1:35" x14ac:dyDescent="0.3">
      <c r="A8" s="4" t="str">
        <f t="shared" si="0"/>
        <v>November</v>
      </c>
      <c r="B8" s="5">
        <f t="shared" si="8"/>
        <v>44507</v>
      </c>
      <c r="C8" s="6" t="s">
        <v>7</v>
      </c>
      <c r="D8" s="6" t="s">
        <v>8</v>
      </c>
      <c r="E8" s="6" t="s">
        <v>33</v>
      </c>
      <c r="F8" s="6" t="s">
        <v>34</v>
      </c>
      <c r="G8" s="6" t="s">
        <v>35</v>
      </c>
      <c r="H8" s="6" t="s">
        <v>13</v>
      </c>
      <c r="I8" s="6" t="s">
        <v>16</v>
      </c>
      <c r="J8" s="7" t="s">
        <v>21</v>
      </c>
      <c r="Z8" s="4" t="str">
        <f t="shared" si="1"/>
        <v>January</v>
      </c>
      <c r="AA8" s="5">
        <f t="shared" si="9"/>
        <v>44203</v>
      </c>
      <c r="AB8" s="6">
        <v>740018760</v>
      </c>
      <c r="AC8" s="6" t="str">
        <f t="shared" ca="1" si="2"/>
        <v>George Mason</v>
      </c>
      <c r="AD8" s="6" t="str">
        <f t="shared" ca="1" si="3"/>
        <v>Jesslyn Mendez</v>
      </c>
      <c r="AE8" s="6" t="str">
        <f t="shared" ca="1" si="4"/>
        <v>Ismael Khaleed</v>
      </c>
      <c r="AF8" s="6" t="str">
        <f t="shared" ca="1" si="5"/>
        <v>Bankcards</v>
      </c>
      <c r="AG8" s="6" t="str">
        <f t="shared" ca="1" si="6"/>
        <v>78%</v>
      </c>
      <c r="AH8" s="6" t="str">
        <f t="shared" ca="1" si="6"/>
        <v>94%</v>
      </c>
      <c r="AI8" s="7" t="str">
        <f t="shared" ca="1" si="7"/>
        <v>$ 45,142.41</v>
      </c>
    </row>
    <row r="9" spans="1:35" x14ac:dyDescent="0.3">
      <c r="A9" s="4" t="str">
        <f t="shared" si="0"/>
        <v>November</v>
      </c>
      <c r="B9" s="5">
        <f t="shared" si="8"/>
        <v>44508</v>
      </c>
      <c r="C9" s="6" t="s">
        <v>7</v>
      </c>
      <c r="D9" s="6" t="s">
        <v>8</v>
      </c>
      <c r="E9" s="6" t="s">
        <v>26</v>
      </c>
      <c r="F9" s="6" t="s">
        <v>34</v>
      </c>
      <c r="G9" s="6" t="s">
        <v>38</v>
      </c>
      <c r="H9" s="6" t="s">
        <v>13</v>
      </c>
      <c r="I9" s="6" t="s">
        <v>13</v>
      </c>
      <c r="J9" s="7" t="s">
        <v>18</v>
      </c>
      <c r="Z9" s="4" t="str">
        <f t="shared" si="1"/>
        <v>January</v>
      </c>
      <c r="AA9" s="5">
        <f t="shared" si="9"/>
        <v>44204</v>
      </c>
      <c r="AB9" s="6">
        <v>740018760</v>
      </c>
      <c r="AC9" s="6" t="str">
        <f t="shared" ca="1" si="2"/>
        <v>George Mason</v>
      </c>
      <c r="AD9" s="6" t="str">
        <f t="shared" ca="1" si="3"/>
        <v>Margaret Cayabyab</v>
      </c>
      <c r="AE9" s="6" t="str">
        <f t="shared" ca="1" si="4"/>
        <v>Kamisato Ryou</v>
      </c>
      <c r="AF9" s="6" t="str">
        <f t="shared" ca="1" si="5"/>
        <v>Sears Connect</v>
      </c>
      <c r="AG9" s="6" t="str">
        <f t="shared" ca="1" si="6"/>
        <v>94%</v>
      </c>
      <c r="AH9" s="6" t="str">
        <f t="shared" ca="1" si="6"/>
        <v>80%</v>
      </c>
      <c r="AI9" s="7" t="str">
        <f t="shared" ca="1" si="7"/>
        <v>$ 45,142.41</v>
      </c>
    </row>
    <row r="10" spans="1:35" x14ac:dyDescent="0.3">
      <c r="A10" s="4" t="str">
        <f t="shared" si="0"/>
        <v>November</v>
      </c>
      <c r="B10" s="5">
        <f t="shared" si="8"/>
        <v>44509</v>
      </c>
      <c r="C10" s="6" t="s">
        <v>7</v>
      </c>
      <c r="D10" s="6" t="s">
        <v>15</v>
      </c>
      <c r="E10" s="6" t="s">
        <v>26</v>
      </c>
      <c r="F10" s="6" t="s">
        <v>30</v>
      </c>
      <c r="G10" s="6" t="s">
        <v>31</v>
      </c>
      <c r="H10" s="6" t="s">
        <v>17</v>
      </c>
      <c r="I10" s="6" t="s">
        <v>9</v>
      </c>
      <c r="J10" s="7" t="s">
        <v>11</v>
      </c>
      <c r="Z10" s="4" t="str">
        <f t="shared" si="1"/>
        <v>January</v>
      </c>
      <c r="AA10" s="5">
        <f t="shared" si="9"/>
        <v>44205</v>
      </c>
      <c r="AB10" s="6">
        <v>740018760</v>
      </c>
      <c r="AC10" s="6" t="str">
        <f t="shared" ca="1" si="2"/>
        <v>Matt Acer</v>
      </c>
      <c r="AD10" s="6" t="str">
        <f t="shared" ca="1" si="3"/>
        <v>Emily Carson</v>
      </c>
      <c r="AE10" s="6" t="str">
        <f t="shared" ca="1" si="4"/>
        <v>Ismael Khaleed</v>
      </c>
      <c r="AF10" s="6" t="str">
        <f t="shared" ca="1" si="5"/>
        <v>Bankcards</v>
      </c>
      <c r="AG10" s="6" t="str">
        <f t="shared" ca="1" si="6"/>
        <v>78%</v>
      </c>
      <c r="AH10" s="6" t="str">
        <f t="shared" ca="1" si="6"/>
        <v>94%</v>
      </c>
      <c r="AI10" s="7" t="str">
        <f t="shared" ca="1" si="7"/>
        <v>$ 41,685.43</v>
      </c>
    </row>
    <row r="11" spans="1:35" x14ac:dyDescent="0.3">
      <c r="A11" s="4" t="str">
        <f t="shared" si="0"/>
        <v>November</v>
      </c>
      <c r="B11" s="5">
        <f t="shared" si="8"/>
        <v>44510</v>
      </c>
      <c r="C11" s="6" t="s">
        <v>7</v>
      </c>
      <c r="D11" s="6" t="s">
        <v>15</v>
      </c>
      <c r="E11" s="6" t="s">
        <v>39</v>
      </c>
      <c r="F11" s="6" t="s">
        <v>40</v>
      </c>
      <c r="G11" s="6" t="s">
        <v>38</v>
      </c>
      <c r="H11" s="6" t="s">
        <v>13</v>
      </c>
      <c r="I11" s="6" t="s">
        <v>17</v>
      </c>
      <c r="J11" s="7" t="s">
        <v>18</v>
      </c>
      <c r="Z11" s="4" t="str">
        <f t="shared" si="1"/>
        <v>January</v>
      </c>
      <c r="AA11" s="5">
        <f t="shared" si="9"/>
        <v>44206</v>
      </c>
      <c r="AB11" s="6">
        <v>740018760</v>
      </c>
      <c r="AC11" s="6" t="str">
        <f t="shared" ca="1" si="2"/>
        <v>Matt Acer</v>
      </c>
      <c r="AD11" s="6" t="str">
        <f t="shared" ca="1" si="3"/>
        <v>Margaret Cayabyab</v>
      </c>
      <c r="AE11" s="6" t="str">
        <f t="shared" ca="1" si="4"/>
        <v>Marshal Fschl</v>
      </c>
      <c r="AF11" s="6" t="str">
        <f t="shared" ca="1" si="5"/>
        <v>Bankcards</v>
      </c>
      <c r="AG11" s="6" t="str">
        <f t="shared" ca="1" si="6"/>
        <v>97%</v>
      </c>
      <c r="AH11" s="6" t="str">
        <f t="shared" ca="1" si="6"/>
        <v>80%</v>
      </c>
      <c r="AI11" s="7" t="str">
        <f t="shared" ca="1" si="7"/>
        <v>$ 41,685.43</v>
      </c>
    </row>
    <row r="12" spans="1:35" x14ac:dyDescent="0.3">
      <c r="A12" s="4" t="str">
        <f t="shared" si="0"/>
        <v>November</v>
      </c>
      <c r="B12" s="5">
        <f t="shared" si="8"/>
        <v>44511</v>
      </c>
      <c r="C12" s="6" t="s">
        <v>7</v>
      </c>
      <c r="D12" s="6" t="s">
        <v>8</v>
      </c>
      <c r="E12" s="6" t="s">
        <v>33</v>
      </c>
      <c r="F12" s="6" t="s">
        <v>37</v>
      </c>
      <c r="G12" s="6" t="s">
        <v>28</v>
      </c>
      <c r="H12" s="6" t="s">
        <v>9</v>
      </c>
      <c r="I12" s="6" t="s">
        <v>9</v>
      </c>
      <c r="J12" s="7" t="s">
        <v>18</v>
      </c>
      <c r="Z12" s="4" t="str">
        <f t="shared" si="1"/>
        <v>January</v>
      </c>
      <c r="AA12" s="5">
        <f t="shared" si="9"/>
        <v>44207</v>
      </c>
      <c r="AB12" s="6">
        <v>740018760</v>
      </c>
      <c r="AC12" s="6" t="str">
        <f t="shared" ca="1" si="2"/>
        <v>George Mason</v>
      </c>
      <c r="AD12" s="6" t="str">
        <f t="shared" ca="1" si="3"/>
        <v>Jesslyn Mendez</v>
      </c>
      <c r="AE12" s="6" t="str">
        <f t="shared" ca="1" si="4"/>
        <v>Marvin Wagner</v>
      </c>
      <c r="AF12" s="6" t="str">
        <f t="shared" ca="1" si="5"/>
        <v>UNV Brands</v>
      </c>
      <c r="AG12" s="6" t="str">
        <f t="shared" ca="1" si="6"/>
        <v>80%</v>
      </c>
      <c r="AH12" s="6" t="str">
        <f t="shared" ca="1" si="6"/>
        <v>78%</v>
      </c>
      <c r="AI12" s="7" t="str">
        <f t="shared" ca="1" si="7"/>
        <v>$ 45,142.41</v>
      </c>
    </row>
    <row r="13" spans="1:35" x14ac:dyDescent="0.3">
      <c r="A13" s="4" t="str">
        <f t="shared" si="0"/>
        <v>November</v>
      </c>
      <c r="B13" s="5">
        <f t="shared" si="8"/>
        <v>44512</v>
      </c>
      <c r="C13" s="6" t="s">
        <v>7</v>
      </c>
      <c r="D13" s="6" t="s">
        <v>19</v>
      </c>
      <c r="E13" s="6" t="s">
        <v>39</v>
      </c>
      <c r="F13" s="6" t="s">
        <v>34</v>
      </c>
      <c r="G13" s="6" t="s">
        <v>28</v>
      </c>
      <c r="H13" s="6" t="s">
        <v>17</v>
      </c>
      <c r="I13" s="6" t="s">
        <v>9</v>
      </c>
      <c r="J13" s="7" t="s">
        <v>14</v>
      </c>
      <c r="Z13" s="4" t="str">
        <f t="shared" si="1"/>
        <v>January</v>
      </c>
      <c r="AA13" s="5">
        <f t="shared" si="9"/>
        <v>44208</v>
      </c>
      <c r="AB13" s="6">
        <v>740018760</v>
      </c>
      <c r="AC13" s="6" t="str">
        <f t="shared" ca="1" si="2"/>
        <v>Sam Quinn</v>
      </c>
      <c r="AD13" s="6" t="str">
        <f t="shared" ca="1" si="3"/>
        <v>Emily Carson</v>
      </c>
      <c r="AE13" s="6" t="str">
        <f t="shared" ca="1" si="4"/>
        <v>Marshal Fschl</v>
      </c>
      <c r="AF13" s="6" t="str">
        <f t="shared" ca="1" si="5"/>
        <v>Bankcards</v>
      </c>
      <c r="AG13" s="6" t="str">
        <f t="shared" ca="1" si="6"/>
        <v>80%</v>
      </c>
      <c r="AH13" s="6" t="str">
        <f t="shared" ca="1" si="6"/>
        <v>88%</v>
      </c>
      <c r="AI13" s="7" t="str">
        <f t="shared" ca="1" si="7"/>
        <v>$ 45,142.41</v>
      </c>
    </row>
    <row r="14" spans="1:35" x14ac:dyDescent="0.3">
      <c r="A14" s="4" t="str">
        <f t="shared" si="0"/>
        <v>November</v>
      </c>
      <c r="B14" s="5">
        <f t="shared" si="8"/>
        <v>44513</v>
      </c>
      <c r="C14" s="6" t="s">
        <v>7</v>
      </c>
      <c r="D14" s="6" t="s">
        <v>22</v>
      </c>
      <c r="E14" s="6" t="s">
        <v>29</v>
      </c>
      <c r="F14" s="6" t="s">
        <v>34</v>
      </c>
      <c r="G14" s="6" t="s">
        <v>31</v>
      </c>
      <c r="H14" s="6" t="s">
        <v>13</v>
      </c>
      <c r="I14" s="6" t="s">
        <v>16</v>
      </c>
      <c r="J14" s="7" t="s">
        <v>21</v>
      </c>
      <c r="Z14" s="4" t="str">
        <f t="shared" si="1"/>
        <v>January</v>
      </c>
      <c r="AA14" s="5">
        <f t="shared" si="9"/>
        <v>44209</v>
      </c>
      <c r="AB14" s="6">
        <v>740018760</v>
      </c>
      <c r="AC14" s="6" t="str">
        <f t="shared" ca="1" si="2"/>
        <v>Matt Acer</v>
      </c>
      <c r="AD14" s="6" t="str">
        <f t="shared" ca="1" si="3"/>
        <v>Jesslyn Mendez</v>
      </c>
      <c r="AE14" s="6" t="str">
        <f t="shared" ca="1" si="4"/>
        <v>Harold Hugh</v>
      </c>
      <c r="AF14" s="6" t="str">
        <f t="shared" ca="1" si="5"/>
        <v>Sears Connect</v>
      </c>
      <c r="AG14" s="6" t="str">
        <f t="shared" ca="1" si="6"/>
        <v>78%</v>
      </c>
      <c r="AH14" s="6" t="str">
        <f t="shared" ca="1" si="6"/>
        <v>97%</v>
      </c>
      <c r="AI14" s="7" t="str">
        <f t="shared" ca="1" si="7"/>
        <v>$ 28,184.87</v>
      </c>
    </row>
    <row r="15" spans="1:35" x14ac:dyDescent="0.3">
      <c r="A15" s="4" t="str">
        <f t="shared" si="0"/>
        <v>November</v>
      </c>
      <c r="B15" s="5">
        <f t="shared" si="8"/>
        <v>44514</v>
      </c>
      <c r="C15" s="6" t="s">
        <v>7</v>
      </c>
      <c r="D15" s="6" t="s">
        <v>8</v>
      </c>
      <c r="E15" s="6" t="s">
        <v>29</v>
      </c>
      <c r="F15" s="6" t="s">
        <v>34</v>
      </c>
      <c r="G15" s="6" t="s">
        <v>28</v>
      </c>
      <c r="H15" s="6" t="s">
        <v>9</v>
      </c>
      <c r="I15" s="6" t="s">
        <v>16</v>
      </c>
      <c r="J15" s="7" t="s">
        <v>14</v>
      </c>
      <c r="Z15" s="4" t="str">
        <f t="shared" si="1"/>
        <v>January</v>
      </c>
      <c r="AA15" s="5">
        <f t="shared" si="9"/>
        <v>44210</v>
      </c>
      <c r="AB15" s="6">
        <v>740018760</v>
      </c>
      <c r="AC15" s="6" t="str">
        <f t="shared" ca="1" si="2"/>
        <v>George Mason</v>
      </c>
      <c r="AD15" s="6" t="str">
        <f t="shared" ca="1" si="3"/>
        <v>Emily Carson</v>
      </c>
      <c r="AE15" s="6" t="str">
        <f t="shared" ca="1" si="4"/>
        <v>Harold Hugh</v>
      </c>
      <c r="AF15" s="6" t="str">
        <f t="shared" ca="1" si="5"/>
        <v>UNV Brands</v>
      </c>
      <c r="AG15" s="6" t="str">
        <f t="shared" ca="1" si="6"/>
        <v>78%</v>
      </c>
      <c r="AH15" s="6" t="str">
        <f t="shared" ca="1" si="6"/>
        <v>78%</v>
      </c>
      <c r="AI15" s="7" t="str">
        <f t="shared" ca="1" si="7"/>
        <v>$ 28,184.87</v>
      </c>
    </row>
    <row r="16" spans="1:35" x14ac:dyDescent="0.3">
      <c r="A16" s="4" t="str">
        <f t="shared" si="0"/>
        <v>November</v>
      </c>
      <c r="B16" s="5">
        <f t="shared" si="8"/>
        <v>44515</v>
      </c>
      <c r="C16" s="6" t="s">
        <v>7</v>
      </c>
      <c r="D16" s="6" t="s">
        <v>22</v>
      </c>
      <c r="E16" s="6" t="s">
        <v>26</v>
      </c>
      <c r="F16" s="6" t="s">
        <v>40</v>
      </c>
      <c r="G16" s="6" t="s">
        <v>38</v>
      </c>
      <c r="H16" s="6" t="s">
        <v>9</v>
      </c>
      <c r="I16" s="6" t="s">
        <v>9</v>
      </c>
      <c r="J16" s="7" t="s">
        <v>18</v>
      </c>
      <c r="Z16" s="4" t="str">
        <f t="shared" si="1"/>
        <v>January</v>
      </c>
      <c r="AA16" s="5">
        <f t="shared" si="9"/>
        <v>44211</v>
      </c>
      <c r="AB16" s="6">
        <v>740018760</v>
      </c>
      <c r="AC16" s="6" t="str">
        <f t="shared" ca="1" si="2"/>
        <v>George Mason</v>
      </c>
      <c r="AD16" s="6" t="str">
        <f t="shared" ca="1" si="3"/>
        <v>Jesslyn Mendez</v>
      </c>
      <c r="AE16" s="6" t="str">
        <f t="shared" ca="1" si="4"/>
        <v>Marshal Fschl</v>
      </c>
      <c r="AF16" s="6" t="str">
        <f t="shared" ca="1" si="5"/>
        <v>Bankcards</v>
      </c>
      <c r="AG16" s="6" t="str">
        <f t="shared" ca="1" si="6"/>
        <v>94%</v>
      </c>
      <c r="AH16" s="6" t="str">
        <f t="shared" ca="1" si="6"/>
        <v>94%</v>
      </c>
      <c r="AI16" s="7" t="str">
        <f t="shared" ca="1" si="7"/>
        <v>$ 41,685.43</v>
      </c>
    </row>
    <row r="17" spans="1:35" x14ac:dyDescent="0.3">
      <c r="A17" s="4" t="str">
        <f t="shared" si="0"/>
        <v>November</v>
      </c>
      <c r="B17" s="5">
        <f t="shared" si="8"/>
        <v>44516</v>
      </c>
      <c r="C17" s="6" t="s">
        <v>7</v>
      </c>
      <c r="D17" s="6" t="s">
        <v>22</v>
      </c>
      <c r="E17" s="6" t="s">
        <v>36</v>
      </c>
      <c r="F17" s="6" t="s">
        <v>34</v>
      </c>
      <c r="G17" s="6" t="s">
        <v>38</v>
      </c>
      <c r="H17" s="6" t="s">
        <v>13</v>
      </c>
      <c r="I17" s="6" t="s">
        <v>16</v>
      </c>
      <c r="J17" s="7" t="s">
        <v>18</v>
      </c>
      <c r="Z17" s="4" t="str">
        <f t="shared" si="1"/>
        <v>January</v>
      </c>
      <c r="AA17" s="5">
        <f t="shared" si="9"/>
        <v>44212</v>
      </c>
      <c r="AB17" s="6">
        <v>740018760</v>
      </c>
      <c r="AC17" s="6" t="str">
        <f t="shared" ca="1" si="2"/>
        <v>Jennifer Lawrence</v>
      </c>
      <c r="AD17" s="6" t="str">
        <f t="shared" ca="1" si="3"/>
        <v>Emily Carson</v>
      </c>
      <c r="AE17" s="6" t="str">
        <f t="shared" ca="1" si="4"/>
        <v>Ismael Khaleed</v>
      </c>
      <c r="AF17" s="6" t="str">
        <f t="shared" ca="1" si="5"/>
        <v>Bankcards</v>
      </c>
      <c r="AG17" s="6" t="str">
        <f t="shared" ca="1" si="6"/>
        <v>94%</v>
      </c>
      <c r="AH17" s="6" t="str">
        <f t="shared" ca="1" si="6"/>
        <v>88%</v>
      </c>
      <c r="AI17" s="7" t="str">
        <f t="shared" ca="1" si="7"/>
        <v>$ 28,184.87</v>
      </c>
    </row>
    <row r="18" spans="1:35" x14ac:dyDescent="0.3">
      <c r="A18" s="4" t="str">
        <f t="shared" si="0"/>
        <v>November</v>
      </c>
      <c r="B18" s="5">
        <f t="shared" si="8"/>
        <v>44517</v>
      </c>
      <c r="C18" s="6" t="s">
        <v>7</v>
      </c>
      <c r="D18" s="6" t="s">
        <v>22</v>
      </c>
      <c r="E18" s="6" t="s">
        <v>33</v>
      </c>
      <c r="F18" s="6" t="s">
        <v>30</v>
      </c>
      <c r="G18" s="6" t="s">
        <v>28</v>
      </c>
      <c r="H18" s="6" t="s">
        <v>17</v>
      </c>
      <c r="I18" s="6" t="s">
        <v>17</v>
      </c>
      <c r="J18" s="7" t="s">
        <v>18</v>
      </c>
      <c r="Z18" s="4" t="str">
        <f t="shared" si="1"/>
        <v>January</v>
      </c>
      <c r="AA18" s="5">
        <f t="shared" si="9"/>
        <v>44213</v>
      </c>
      <c r="AB18" s="6">
        <v>740018760</v>
      </c>
      <c r="AC18" s="6" t="str">
        <f t="shared" ca="1" si="2"/>
        <v>Matt Acer</v>
      </c>
      <c r="AD18" s="6" t="str">
        <f t="shared" ca="1" si="3"/>
        <v>Joy Giron</v>
      </c>
      <c r="AE18" s="6" t="str">
        <f t="shared" ca="1" si="4"/>
        <v>Kamisato Ryou</v>
      </c>
      <c r="AF18" s="6" t="str">
        <f t="shared" ca="1" si="5"/>
        <v>Sears</v>
      </c>
      <c r="AG18" s="6" t="str">
        <f t="shared" ca="1" si="6"/>
        <v>94%</v>
      </c>
      <c r="AH18" s="6" t="str">
        <f t="shared" ca="1" si="6"/>
        <v>80%</v>
      </c>
      <c r="AI18" s="7" t="str">
        <f t="shared" ca="1" si="7"/>
        <v>$ 31,685.43</v>
      </c>
    </row>
    <row r="19" spans="1:35" x14ac:dyDescent="0.3">
      <c r="A19" s="4" t="str">
        <f t="shared" si="0"/>
        <v>November</v>
      </c>
      <c r="B19" s="5">
        <f t="shared" si="8"/>
        <v>44518</v>
      </c>
      <c r="C19" s="6" t="s">
        <v>7</v>
      </c>
      <c r="D19" s="6" t="s">
        <v>19</v>
      </c>
      <c r="E19" s="6" t="s">
        <v>36</v>
      </c>
      <c r="F19" s="6" t="s">
        <v>27</v>
      </c>
      <c r="G19" s="6" t="s">
        <v>28</v>
      </c>
      <c r="H19" s="6" t="s">
        <v>16</v>
      </c>
      <c r="I19" s="6" t="s">
        <v>9</v>
      </c>
      <c r="J19" s="7" t="s">
        <v>20</v>
      </c>
      <c r="Z19" s="4" t="str">
        <f t="shared" si="1"/>
        <v>January</v>
      </c>
      <c r="AA19" s="5">
        <f t="shared" si="9"/>
        <v>44214</v>
      </c>
      <c r="AB19" s="6">
        <v>740018760</v>
      </c>
      <c r="AC19" s="6" t="str">
        <f t="shared" ca="1" si="2"/>
        <v>George Mason</v>
      </c>
      <c r="AD19" s="6" t="str">
        <f t="shared" ca="1" si="3"/>
        <v>Margaret Cayabyab</v>
      </c>
      <c r="AE19" s="6" t="str">
        <f t="shared" ca="1" si="4"/>
        <v>Marshal Fschl</v>
      </c>
      <c r="AF19" s="6" t="str">
        <f t="shared" ca="1" si="5"/>
        <v>Bankcards</v>
      </c>
      <c r="AG19" s="6" t="str">
        <f t="shared" ca="1" si="6"/>
        <v>78%</v>
      </c>
      <c r="AH19" s="6" t="str">
        <f t="shared" ca="1" si="6"/>
        <v>94%</v>
      </c>
      <c r="AI19" s="7" t="str">
        <f t="shared" ca="1" si="7"/>
        <v>$ 46,115.12</v>
      </c>
    </row>
    <row r="20" spans="1:35" x14ac:dyDescent="0.3">
      <c r="A20" s="4" t="str">
        <f t="shared" si="0"/>
        <v>November</v>
      </c>
      <c r="B20" s="5">
        <f t="shared" si="8"/>
        <v>44519</v>
      </c>
      <c r="C20" s="6" t="s">
        <v>7</v>
      </c>
      <c r="D20" s="6" t="s">
        <v>8</v>
      </c>
      <c r="E20" s="6" t="s">
        <v>26</v>
      </c>
      <c r="F20" s="6" t="s">
        <v>37</v>
      </c>
      <c r="G20" s="6" t="s">
        <v>35</v>
      </c>
      <c r="H20" s="6" t="s">
        <v>13</v>
      </c>
      <c r="I20" s="6" t="s">
        <v>9</v>
      </c>
      <c r="J20" s="7" t="s">
        <v>11</v>
      </c>
      <c r="Z20" s="4" t="str">
        <f t="shared" si="1"/>
        <v>January</v>
      </c>
      <c r="AA20" s="5">
        <f t="shared" si="9"/>
        <v>44215</v>
      </c>
      <c r="AB20" s="6">
        <v>740018760</v>
      </c>
      <c r="AC20" s="6" t="str">
        <f t="shared" ca="1" si="2"/>
        <v>Ann Taylor</v>
      </c>
      <c r="AD20" s="6" t="str">
        <f t="shared" ca="1" si="3"/>
        <v>Emily Carson</v>
      </c>
      <c r="AE20" s="6" t="str">
        <f t="shared" ca="1" si="4"/>
        <v>Marshal Fschl</v>
      </c>
      <c r="AF20" s="6" t="str">
        <f t="shared" ca="1" si="5"/>
        <v>Sears</v>
      </c>
      <c r="AG20" s="6" t="str">
        <f t="shared" ca="1" si="6"/>
        <v>94%</v>
      </c>
      <c r="AH20" s="6" t="str">
        <f t="shared" ca="1" si="6"/>
        <v>97%</v>
      </c>
      <c r="AI20" s="7" t="str">
        <f t="shared" ca="1" si="7"/>
        <v>$ 28,184.87</v>
      </c>
    </row>
    <row r="21" spans="1:35" x14ac:dyDescent="0.3">
      <c r="A21" s="4" t="str">
        <f t="shared" si="0"/>
        <v>November</v>
      </c>
      <c r="B21" s="5">
        <f t="shared" si="8"/>
        <v>44520</v>
      </c>
      <c r="C21" s="6" t="s">
        <v>7</v>
      </c>
      <c r="D21" s="6" t="s">
        <v>22</v>
      </c>
      <c r="E21" s="6" t="s">
        <v>33</v>
      </c>
      <c r="F21" s="6" t="s">
        <v>40</v>
      </c>
      <c r="G21" s="6" t="s">
        <v>31</v>
      </c>
      <c r="H21" s="6" t="s">
        <v>9</v>
      </c>
      <c r="I21" s="6" t="s">
        <v>17</v>
      </c>
      <c r="J21" s="7" t="s">
        <v>21</v>
      </c>
      <c r="Z21" s="4" t="str">
        <f t="shared" si="1"/>
        <v>January</v>
      </c>
      <c r="AA21" s="5">
        <f t="shared" si="9"/>
        <v>44216</v>
      </c>
      <c r="AB21" s="6">
        <v>740018760</v>
      </c>
      <c r="AC21" s="6" t="str">
        <f t="shared" ca="1" si="2"/>
        <v>Ann Taylor</v>
      </c>
      <c r="AD21" s="6" t="str">
        <f t="shared" ca="1" si="3"/>
        <v>Margaret Cayabyab</v>
      </c>
      <c r="AE21" s="6" t="str">
        <f t="shared" ca="1" si="4"/>
        <v>Marshal Fschl</v>
      </c>
      <c r="AF21" s="6" t="str">
        <f t="shared" ca="1" si="5"/>
        <v>Bankcards</v>
      </c>
      <c r="AG21" s="6" t="str">
        <f t="shared" ca="1" si="6"/>
        <v>94%</v>
      </c>
      <c r="AH21" s="6" t="str">
        <f t="shared" ca="1" si="6"/>
        <v>94%</v>
      </c>
      <c r="AI21" s="7" t="str">
        <f t="shared" ca="1" si="7"/>
        <v>$ 28,184.87</v>
      </c>
    </row>
    <row r="22" spans="1:35" x14ac:dyDescent="0.3">
      <c r="A22" s="4" t="str">
        <f t="shared" si="0"/>
        <v>November</v>
      </c>
      <c r="B22" s="5">
        <f t="shared" si="8"/>
        <v>44521</v>
      </c>
      <c r="C22" s="6" t="s">
        <v>7</v>
      </c>
      <c r="D22" s="6" t="s">
        <v>15</v>
      </c>
      <c r="E22" s="6" t="s">
        <v>29</v>
      </c>
      <c r="F22" s="6" t="s">
        <v>40</v>
      </c>
      <c r="G22" s="6" t="s">
        <v>35</v>
      </c>
      <c r="H22" s="6" t="s">
        <v>16</v>
      </c>
      <c r="I22" s="6" t="s">
        <v>16</v>
      </c>
      <c r="J22" s="7" t="s">
        <v>21</v>
      </c>
      <c r="Z22" s="4" t="str">
        <f t="shared" si="1"/>
        <v>January</v>
      </c>
      <c r="AA22" s="5">
        <f t="shared" si="9"/>
        <v>44217</v>
      </c>
      <c r="AB22" s="6">
        <v>740018760</v>
      </c>
      <c r="AC22" s="6" t="str">
        <f t="shared" ca="1" si="2"/>
        <v>Matt Acer</v>
      </c>
      <c r="AD22" s="6" t="str">
        <f t="shared" ca="1" si="3"/>
        <v>Emily Carson</v>
      </c>
      <c r="AE22" s="6" t="str">
        <f t="shared" ca="1" si="4"/>
        <v>Marshal Fschl</v>
      </c>
      <c r="AF22" s="6" t="str">
        <f t="shared" ca="1" si="5"/>
        <v>Bankcards</v>
      </c>
      <c r="AG22" s="6" t="str">
        <f t="shared" ca="1" si="6"/>
        <v>88%</v>
      </c>
      <c r="AH22" s="6" t="str">
        <f t="shared" ca="1" si="6"/>
        <v>78%</v>
      </c>
      <c r="AI22" s="7" t="str">
        <f t="shared" ca="1" si="7"/>
        <v>$ 31,685.43</v>
      </c>
    </row>
    <row r="23" spans="1:35" x14ac:dyDescent="0.3">
      <c r="A23" s="4" t="str">
        <f t="shared" si="0"/>
        <v>November</v>
      </c>
      <c r="B23" s="5">
        <f t="shared" si="8"/>
        <v>44522</v>
      </c>
      <c r="C23" s="6" t="s">
        <v>7</v>
      </c>
      <c r="D23" s="6" t="s">
        <v>19</v>
      </c>
      <c r="E23" s="6" t="s">
        <v>26</v>
      </c>
      <c r="F23" s="6" t="s">
        <v>34</v>
      </c>
      <c r="G23" s="6" t="s">
        <v>35</v>
      </c>
      <c r="H23" s="6" t="s">
        <v>13</v>
      </c>
      <c r="I23" s="6" t="s">
        <v>13</v>
      </c>
      <c r="J23" s="7" t="s">
        <v>14</v>
      </c>
      <c r="Z23" s="4" t="str">
        <f t="shared" si="1"/>
        <v>January</v>
      </c>
      <c r="AA23" s="5">
        <f t="shared" si="9"/>
        <v>44218</v>
      </c>
      <c r="AB23" s="6">
        <v>740018760</v>
      </c>
      <c r="AC23" s="6" t="str">
        <f t="shared" ca="1" si="2"/>
        <v>Jennifer Lawrence</v>
      </c>
      <c r="AD23" s="6" t="str">
        <f t="shared" ca="1" si="3"/>
        <v>Margaret Cayabyab</v>
      </c>
      <c r="AE23" s="6" t="str">
        <f t="shared" ca="1" si="4"/>
        <v>Kamisato Ryou</v>
      </c>
      <c r="AF23" s="6" t="str">
        <f t="shared" ca="1" si="5"/>
        <v>Best Buy</v>
      </c>
      <c r="AG23" s="6" t="str">
        <f t="shared" ca="1" si="6"/>
        <v>94%</v>
      </c>
      <c r="AH23" s="6" t="str">
        <f t="shared" ca="1" si="6"/>
        <v>80%</v>
      </c>
      <c r="AI23" s="7" t="str">
        <f t="shared" ca="1" si="7"/>
        <v>$ 45,142.41</v>
      </c>
    </row>
    <row r="24" spans="1:35" x14ac:dyDescent="0.3">
      <c r="A24" s="4" t="str">
        <f t="shared" si="0"/>
        <v>November</v>
      </c>
      <c r="B24" s="5">
        <f t="shared" si="8"/>
        <v>44523</v>
      </c>
      <c r="C24" s="6" t="s">
        <v>7</v>
      </c>
      <c r="D24" s="6" t="s">
        <v>22</v>
      </c>
      <c r="E24" s="6" t="s">
        <v>33</v>
      </c>
      <c r="F24" s="6" t="s">
        <v>37</v>
      </c>
      <c r="G24" s="6" t="s">
        <v>38</v>
      </c>
      <c r="H24" s="6" t="s">
        <v>9</v>
      </c>
      <c r="I24" s="6" t="s">
        <v>16</v>
      </c>
      <c r="J24" s="7" t="s">
        <v>21</v>
      </c>
      <c r="Z24" s="4" t="str">
        <f t="shared" si="1"/>
        <v>January</v>
      </c>
      <c r="AA24" s="5">
        <f t="shared" si="9"/>
        <v>44219</v>
      </c>
      <c r="AB24" s="6">
        <v>740018760</v>
      </c>
      <c r="AC24" s="6" t="str">
        <f t="shared" ca="1" si="2"/>
        <v>Ann Taylor</v>
      </c>
      <c r="AD24" s="6" t="str">
        <f t="shared" ca="1" si="3"/>
        <v>Mathew Salazar</v>
      </c>
      <c r="AE24" s="6" t="str">
        <f t="shared" ca="1" si="4"/>
        <v>Marvin Wagner</v>
      </c>
      <c r="AF24" s="6" t="str">
        <f t="shared" ca="1" si="5"/>
        <v>Bankcards</v>
      </c>
      <c r="AG24" s="6" t="str">
        <f t="shared" ca="1" si="6"/>
        <v>80%</v>
      </c>
      <c r="AH24" s="6" t="str">
        <f t="shared" ca="1" si="6"/>
        <v>80%</v>
      </c>
      <c r="AI24" s="7" t="str">
        <f t="shared" ca="1" si="7"/>
        <v>$ 28,184.87</v>
      </c>
    </row>
    <row r="25" spans="1:35" x14ac:dyDescent="0.3">
      <c r="A25" s="4" t="str">
        <f t="shared" si="0"/>
        <v>November</v>
      </c>
      <c r="B25" s="5">
        <f t="shared" si="8"/>
        <v>44524</v>
      </c>
      <c r="C25" s="6" t="s">
        <v>7</v>
      </c>
      <c r="D25" s="6" t="s">
        <v>8</v>
      </c>
      <c r="E25" s="6" t="s">
        <v>26</v>
      </c>
      <c r="F25" s="6" t="s">
        <v>40</v>
      </c>
      <c r="G25" s="6" t="s">
        <v>28</v>
      </c>
      <c r="H25" s="6" t="s">
        <v>13</v>
      </c>
      <c r="I25" s="6" t="s">
        <v>10</v>
      </c>
      <c r="J25" s="7" t="s">
        <v>18</v>
      </c>
      <c r="Z25" s="4" t="str">
        <f t="shared" si="1"/>
        <v>January</v>
      </c>
      <c r="AA25" s="5">
        <f t="shared" si="9"/>
        <v>44220</v>
      </c>
      <c r="AB25" s="6">
        <v>740018760</v>
      </c>
      <c r="AC25" s="6" t="str">
        <f t="shared" ca="1" si="2"/>
        <v>Ann Taylor</v>
      </c>
      <c r="AD25" s="6" t="str">
        <f t="shared" ca="1" si="3"/>
        <v>Margaret Cayabyab</v>
      </c>
      <c r="AE25" s="6" t="str">
        <f t="shared" ca="1" si="4"/>
        <v>Ismael Khaleed</v>
      </c>
      <c r="AF25" s="6" t="str">
        <f t="shared" ca="1" si="5"/>
        <v>UNV Brands</v>
      </c>
      <c r="AG25" s="6" t="str">
        <f t="shared" ca="1" si="6"/>
        <v>80%</v>
      </c>
      <c r="AH25" s="6" t="str">
        <f t="shared" ca="1" si="6"/>
        <v>88%</v>
      </c>
      <c r="AI25" s="7" t="str">
        <f t="shared" ca="1" si="7"/>
        <v>$ 31,685.43</v>
      </c>
    </row>
    <row r="26" spans="1:35" x14ac:dyDescent="0.3">
      <c r="A26" s="4" t="str">
        <f t="shared" si="0"/>
        <v>November</v>
      </c>
      <c r="B26" s="5">
        <f t="shared" si="8"/>
        <v>44525</v>
      </c>
      <c r="C26" s="6" t="s">
        <v>7</v>
      </c>
      <c r="D26" s="6" t="s">
        <v>12</v>
      </c>
      <c r="E26" s="6" t="s">
        <v>26</v>
      </c>
      <c r="F26" s="6" t="s">
        <v>40</v>
      </c>
      <c r="G26" s="6" t="s">
        <v>38</v>
      </c>
      <c r="H26" s="6" t="s">
        <v>13</v>
      </c>
      <c r="I26" s="6" t="s">
        <v>17</v>
      </c>
      <c r="J26" s="7" t="s">
        <v>11</v>
      </c>
      <c r="Z26" s="4" t="str">
        <f t="shared" si="1"/>
        <v>January</v>
      </c>
      <c r="AA26" s="5">
        <f t="shared" si="9"/>
        <v>44221</v>
      </c>
      <c r="AB26" s="6">
        <v>740018760</v>
      </c>
      <c r="AC26" s="6" t="str">
        <f t="shared" ca="1" si="2"/>
        <v>Sam Quinn</v>
      </c>
      <c r="AD26" s="6" t="str">
        <f t="shared" ca="1" si="3"/>
        <v>Mathew Salazar</v>
      </c>
      <c r="AE26" s="6" t="str">
        <f t="shared" ca="1" si="4"/>
        <v>Marshal Fschl</v>
      </c>
      <c r="AF26" s="6" t="str">
        <f t="shared" ca="1" si="5"/>
        <v>Best Buy</v>
      </c>
      <c r="AG26" s="6" t="str">
        <f t="shared" ca="1" si="6"/>
        <v>94%</v>
      </c>
      <c r="AH26" s="6" t="str">
        <f t="shared" ca="1" si="6"/>
        <v>80%</v>
      </c>
      <c r="AI26" s="7" t="str">
        <f t="shared" ca="1" si="7"/>
        <v>$ 46,115.12</v>
      </c>
    </row>
    <row r="27" spans="1:35" x14ac:dyDescent="0.3">
      <c r="A27" s="4" t="str">
        <f t="shared" si="0"/>
        <v>November</v>
      </c>
      <c r="B27" s="5">
        <f t="shared" si="8"/>
        <v>44526</v>
      </c>
      <c r="C27" s="6" t="s">
        <v>7</v>
      </c>
      <c r="D27" s="6" t="s">
        <v>12</v>
      </c>
      <c r="E27" s="6" t="s">
        <v>39</v>
      </c>
      <c r="F27" s="6" t="s">
        <v>34</v>
      </c>
      <c r="G27" s="6" t="s">
        <v>32</v>
      </c>
      <c r="H27" s="6" t="s">
        <v>10</v>
      </c>
      <c r="I27" s="6" t="s">
        <v>17</v>
      </c>
      <c r="J27" s="7" t="s">
        <v>14</v>
      </c>
      <c r="Z27" s="4" t="str">
        <f t="shared" si="1"/>
        <v>January</v>
      </c>
      <c r="AA27" s="5">
        <f t="shared" si="9"/>
        <v>44222</v>
      </c>
      <c r="AB27" s="6">
        <v>740018760</v>
      </c>
      <c r="AC27" s="6" t="str">
        <f t="shared" ca="1" si="2"/>
        <v>George Mason</v>
      </c>
      <c r="AD27" s="6" t="str">
        <f t="shared" ca="1" si="3"/>
        <v>Emily Carson</v>
      </c>
      <c r="AE27" s="6" t="str">
        <f t="shared" ca="1" si="4"/>
        <v>Harold Hugh</v>
      </c>
      <c r="AF27" s="6" t="str">
        <f t="shared" ca="1" si="5"/>
        <v>Best Buy</v>
      </c>
      <c r="AG27" s="6" t="str">
        <f t="shared" ca="1" si="6"/>
        <v>80%</v>
      </c>
      <c r="AH27" s="6" t="str">
        <f t="shared" ca="1" si="6"/>
        <v>88%</v>
      </c>
      <c r="AI27" s="7" t="str">
        <f t="shared" ca="1" si="7"/>
        <v>$ 46,115.12</v>
      </c>
    </row>
    <row r="28" spans="1:35" x14ac:dyDescent="0.3">
      <c r="A28" s="4" t="str">
        <f t="shared" si="0"/>
        <v>November</v>
      </c>
      <c r="B28" s="5">
        <f t="shared" si="8"/>
        <v>44527</v>
      </c>
      <c r="C28" s="6" t="s">
        <v>7</v>
      </c>
      <c r="D28" s="6" t="s">
        <v>8</v>
      </c>
      <c r="E28" s="6" t="s">
        <v>39</v>
      </c>
      <c r="F28" s="6" t="s">
        <v>40</v>
      </c>
      <c r="G28" s="6" t="s">
        <v>35</v>
      </c>
      <c r="H28" s="6" t="s">
        <v>10</v>
      </c>
      <c r="I28" s="6" t="s">
        <v>17</v>
      </c>
      <c r="J28" s="7" t="s">
        <v>21</v>
      </c>
      <c r="Z28" s="4" t="str">
        <f t="shared" si="1"/>
        <v>January</v>
      </c>
      <c r="AA28" s="5">
        <f t="shared" si="9"/>
        <v>44223</v>
      </c>
      <c r="AB28" s="6">
        <v>740018760</v>
      </c>
      <c r="AC28" s="6" t="str">
        <f t="shared" ca="1" si="2"/>
        <v>Sam Quinn</v>
      </c>
      <c r="AD28" s="6" t="str">
        <f t="shared" ca="1" si="3"/>
        <v>Joy Giron</v>
      </c>
      <c r="AE28" s="6" t="str">
        <f t="shared" ca="1" si="4"/>
        <v>Marshal Fschl</v>
      </c>
      <c r="AF28" s="6" t="str">
        <f t="shared" ca="1" si="5"/>
        <v>Best Buy</v>
      </c>
      <c r="AG28" s="6" t="str">
        <f t="shared" ca="1" si="6"/>
        <v>97%</v>
      </c>
      <c r="AH28" s="6" t="str">
        <f t="shared" ca="1" si="6"/>
        <v>80%</v>
      </c>
      <c r="AI28" s="7" t="str">
        <f t="shared" ca="1" si="7"/>
        <v>$ 41,685.43</v>
      </c>
    </row>
    <row r="29" spans="1:35" x14ac:dyDescent="0.3">
      <c r="A29" s="4" t="str">
        <f t="shared" si="0"/>
        <v>November</v>
      </c>
      <c r="B29" s="5">
        <f t="shared" si="8"/>
        <v>44528</v>
      </c>
      <c r="C29" s="6" t="s">
        <v>7</v>
      </c>
      <c r="D29" s="6" t="s">
        <v>22</v>
      </c>
      <c r="E29" s="6" t="s">
        <v>36</v>
      </c>
      <c r="F29" s="6" t="s">
        <v>40</v>
      </c>
      <c r="G29" s="6" t="s">
        <v>32</v>
      </c>
      <c r="H29" s="6" t="s">
        <v>9</v>
      </c>
      <c r="I29" s="6" t="s">
        <v>17</v>
      </c>
      <c r="J29" s="7" t="s">
        <v>20</v>
      </c>
      <c r="Z29" s="4" t="str">
        <f t="shared" si="1"/>
        <v>January</v>
      </c>
      <c r="AA29" s="5">
        <f t="shared" si="9"/>
        <v>44224</v>
      </c>
      <c r="AB29" s="6">
        <v>740018760</v>
      </c>
      <c r="AC29" s="6" t="str">
        <f t="shared" ca="1" si="2"/>
        <v>Jennifer Lawrence</v>
      </c>
      <c r="AD29" s="6" t="str">
        <f t="shared" ca="1" si="3"/>
        <v>Emily Carson</v>
      </c>
      <c r="AE29" s="6" t="str">
        <f t="shared" ca="1" si="4"/>
        <v>Kamisato Ryou</v>
      </c>
      <c r="AF29" s="6" t="str">
        <f t="shared" ca="1" si="5"/>
        <v>Bankcards</v>
      </c>
      <c r="AG29" s="6" t="str">
        <f t="shared" ca="1" si="6"/>
        <v>97%</v>
      </c>
      <c r="AH29" s="6" t="str">
        <f t="shared" ca="1" si="6"/>
        <v>94%</v>
      </c>
      <c r="AI29" s="7" t="str">
        <f t="shared" ca="1" si="7"/>
        <v>$ 45,142.41</v>
      </c>
    </row>
    <row r="30" spans="1:35" x14ac:dyDescent="0.3">
      <c r="A30" s="4" t="str">
        <f t="shared" ref="A30:A31" si="10">TEXT(B30,"MMMM")</f>
        <v>November</v>
      </c>
      <c r="B30" s="5">
        <f t="shared" si="8"/>
        <v>44529</v>
      </c>
      <c r="C30" s="6" t="s">
        <v>7</v>
      </c>
      <c r="D30" s="6" t="s">
        <v>22</v>
      </c>
      <c r="E30" s="6" t="s">
        <v>36</v>
      </c>
      <c r="F30" s="6" t="s">
        <v>40</v>
      </c>
      <c r="G30" s="6" t="s">
        <v>32</v>
      </c>
      <c r="H30" s="6" t="s">
        <v>9</v>
      </c>
      <c r="I30" s="6" t="s">
        <v>17</v>
      </c>
      <c r="J30" s="7" t="s">
        <v>20</v>
      </c>
      <c r="Z30" s="2"/>
      <c r="AA30" s="1"/>
    </row>
    <row r="31" spans="1:35" x14ac:dyDescent="0.3">
      <c r="A31" s="4" t="str">
        <f t="shared" si="10"/>
        <v>November</v>
      </c>
      <c r="B31" s="5">
        <f t="shared" si="8"/>
        <v>44530</v>
      </c>
      <c r="C31" s="6" t="s">
        <v>7</v>
      </c>
      <c r="D31" s="6" t="s">
        <v>22</v>
      </c>
      <c r="E31" s="6" t="s">
        <v>36</v>
      </c>
      <c r="F31" s="6" t="s">
        <v>40</v>
      </c>
      <c r="G31" s="6" t="s">
        <v>32</v>
      </c>
      <c r="H31" s="6" t="s">
        <v>9</v>
      </c>
      <c r="I31" s="6" t="s">
        <v>17</v>
      </c>
      <c r="J31" s="7" t="s">
        <v>20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LOUIE</dc:creator>
  <cp:lastModifiedBy>LOUIE</cp:lastModifiedBy>
  <dcterms:created xsi:type="dcterms:W3CDTF">2021-08-17T17:37:28Z</dcterms:created>
  <dcterms:modified xsi:type="dcterms:W3CDTF">2021-08-17T23:02:51Z</dcterms:modified>
</cp:coreProperties>
</file>